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b685a18a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32faa640644f26"/>
    <x:sheet xmlns:r="http://schemas.openxmlformats.org/officeDocument/2006/relationships" name="Cases" sheetId="2" r:id="R216bc0d561754fd9"/>
    <x:sheet xmlns:r="http://schemas.openxmlformats.org/officeDocument/2006/relationships" name="Guide" sheetId="3" r:id="R75acd4dcf696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%"/>
    <x:numFmt numFmtId="202" formatCode="0.00"/>
    <x:numFmt numFmtId="203" formatCode="hh:mm"/>
    <x:numFmt numFmtId="204" formatCode="yyyy-mm-dd"/>
    <x:numFmt numFmtId="205" formatCode="yyyy-mm-dd hh:mm"/>
    <x:numFmt numFmtId="206" formatCode="#,##0"/>
  </x:numFmts>
  <x:fonts count="8">
    <x:font>
      <x:sz val="11"/>
      <x:name val="Carlito"/>
    </x:font>
    <x:font>
      <x:sz val="11"/>
      <x:color rgb="FF213547"/>
      <x:name val="Arial"/>
    </x:font>
    <x:font>
      <x:b/>
      <x:sz val="16"/>
      <x:color rgb="FF263E55"/>
      <x:name val="Arial"/>
    </x:font>
    <x:font>
      <x:b/>
      <x:sz val="11"/>
      <x:color rgb="FFFFFFFF"/>
      <x:name val="Arial"/>
    </x:font>
    <x:font>
      <x:b/>
      <x:sz val="12"/>
      <x:color rgb="FF213547"/>
      <x:name val="Arial"/>
    </x:font>
    <x:font>
      <x:b/>
      <x:sz val="11"/>
      <x:color rgb="FF213547"/>
      <x:name val="Arial"/>
    </x:font>
    <x:font>
      <x:i/>
      <x:sz val="10"/>
      <x:color rgb="FF566477"/>
      <x:name val="Arial"/>
    </x:font>
    <x:font>
      <x:sz val="11"/>
      <x:color rgb="FF205BB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E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65456b7fc4ddf" /><Relationship Type="http://schemas.openxmlformats.org/officeDocument/2006/relationships/theme" Target="/xl/theme/theme1.xml" Id="Rdcdf49571a754cfe" /><Relationship Type="http://schemas.openxmlformats.org/officeDocument/2006/relationships/sharedStrings" Target="/xl/sharedStrings.xml" Id="Rfa3ed242c6c04647" /><Relationship Type="http://schemas.openxmlformats.org/officeDocument/2006/relationships/worksheet" Target="/xl/worksheets/sheet1.xml" Id="R1832faa640644f26" /><Relationship Type="http://schemas.openxmlformats.org/officeDocument/2006/relationships/worksheet" Target="/xl/worksheets/sheet2.xml" Id="R216bc0d561754fd9" /><Relationship Type="http://schemas.openxmlformats.org/officeDocument/2006/relationships/worksheet" Target="/xl/worksheets/sheet3.xml" Id="R75acd4dcf69642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74d54410154d33" /><Relationship Type="http://schemas.openxmlformats.org/officeDocument/2006/relationships/chart" Target="/xl/drawings/charts/chart2.xml" Id="R83f5dc7935aa43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Initial replies against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Cases</c:v>
          </c:tx>
          <c:spPr>
            <a:solidFill xmlns:a="http://schemas.openxmlformats.org/drawingml/2006/main">
              <a:srgbClr val="49789B"/>
            </a:solidFill>
          </c:spPr>
          <c:invertIfNegative val="0"/>
          <c:cat>
            <c:strRef>
              <c:f>'Summary'!$L$3:$L$4</c:f>
              <c:strCache>
                <c:ptCount val="0"/>
              </c:strCache>
            </c:strRef>
          </c:cat>
          <c:val>
            <c:numRef>
              <c:f>'Summary'!$M$3:$M$4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20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Low ratings by reviewed context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Cases</c:v>
          </c:tx>
          <c:spPr>
            <a:solidFill xmlns:a="http://schemas.openxmlformats.org/drawingml/2006/main">
              <a:srgbClr val="8C729C"/>
            </a:solidFill>
          </c:spPr>
          <c:invertIfNegative val="0"/>
          <c:cat>
            <c:strRef>
              <c:f>'Summary'!$L$7:$L$9</c:f>
              <c:strCache>
                <c:ptCount val="0"/>
              </c:strCache>
            </c:strRef>
          </c:cat>
          <c:val>
            <c:numRef>
              <c:f>'Summary'!$M$7:$M$9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74d54410154d33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f5dc7935aa43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Cases" displayName="ServiceCases" ref="A5:V125" headerRowCount="1" totalsRowCount="0" totalsRowShown="0">
  <x:tableColumns count="22">
    <x:tableColumn id="1" name="case_id"/>
    <x:tableColumn id="2" name="employee_id"/>
    <x:tableColumn id="3" name="received_at"/>
    <x:tableColumn id="4" name="first_response_at"/>
    <x:tableColumn id="5" name="verified_at"/>
    <x:tableColumn id="6" name="refunded_at"/>
    <x:tableColumn id="7" name="amount_vnd"/>
    <x:tableColumn id="8" name="rework_required"/>
    <x:tableColumn id="9" name="csat_score"/>
    <x:tableColumn id="10" name="feedback_theme"/>
    <x:tableColumn id="11" name="feedback_responsibility"/>
    <x:tableColumn id="12" name="feedback_note"/>
    <x:tableColumn id="13" name="response_work_minutes"/>
    <x:tableColumn id="14" name="response_target_met"/>
    <x:tableColumn id="15" name="verification_workdays"/>
    <x:tableColumn id="16" name="customer_wait_hours"/>
    <x:tableColumn id="17" name="accounting_wait_work_minutes"/>
    <x:tableColumn id="18" name="same_day_refund"/>
    <x:tableColumn id="19" name="sla_deadline"/>
    <x:tableColumn id="20" name="within_sla"/>
    <x:tableColumn id="21" name="low_rating"/>
    <x:tableColumn id="22" name="needs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3b857490514b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50267940b4ade" /></Relationships>
</file>

<file path=xl/worksheets/sheet1.xml><?xml version="1.0" encoding="utf-8"?>
<x:worksheet xmlns:x="http://schemas.openxmlformats.org/spreadsheetml/2006/main">
  <x:sheetPr>
    <x:tabColor rgb="FF263E55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Employee service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 t="str">
        <x:v>First reply</x:v>
      </x:c>
      <x:c r="M2" s="2" t="str">
        <x:v>Cases</x:v>
      </x:c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 t="str">
        <x:v>Synthetic employee: EMP-01</x:v>
      </x:c>
      <x:c r="B3" s="2"/>
      <x:c r="C3" s="2"/>
      <x:c r="D3" s="2" t="str">
        <x:v>Review year: 2025</x:v>
      </x:c>
      <x:c r="E3" s="2"/>
      <x:c r="F3" s="2"/>
      <x:c r="G3" s="2"/>
      <x:c r="H3" s="2"/>
      <x:c r="I3" s="2"/>
      <x:c r="J3" s="2"/>
      <x:c r="K3" s="2"/>
      <x:c r="L3" s="2" t="str">
        <x:v>Within target</x:v>
      </x:c>
      <x:c r="M3" s="2" t="n">
        <x:f>B8</x:f>
        <x:v>112</x:v>
      </x:c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Over target</x:v>
      </x:c>
      <x:c r="M4" s="2" t="n">
        <x:f>B6-B8</x:f>
        <x:v>8</x:v>
      </x:c>
      <x:c r="N4" s="2"/>
      <x:c r="O4" s="2"/>
      <x:c r="P4" s="2"/>
      <x:c r="Q4" s="2"/>
      <x:c r="R4" s="2"/>
      <x:c r="S4" s="2"/>
      <x:c r="T4" s="2"/>
      <x:c r="U4" s="2"/>
      <x:c r="V4" s="2"/>
    </x:row>
    <x:row r="5" ht="38" customHeight="1">
      <x:c r="A5" s="7" t="str">
        <x:v>Measure</x:v>
      </x:c>
      <x:c r="B5" s="7" t="str">
        <x:v>Result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4" customHeight="1">
      <x:c r="A6" s="2" t="str">
        <x:v>Assigned cases</x:v>
      </x:c>
      <x:c r="B6" s="11" t="n">
        <x:f>COUNTA(Cases!A6:A125)</x:f>
        <x:v>120</x:v>
      </x:c>
      <x:c r="C6" s="2"/>
      <x:c r="D6" s="2"/>
      <x:c r="E6" s="2"/>
      <x:c r="F6" s="2"/>
      <x:c r="G6" s="2"/>
      <x:c r="H6" s="2"/>
      <x:c r="I6" s="2"/>
      <x:c r="J6" s="2"/>
      <x:c r="K6" s="2"/>
      <x:c r="L6" s="2" t="str">
        <x:v>Low-rating context</x:v>
      </x:c>
      <x:c r="M6" s="2" t="str">
        <x:v>Cases</x:v>
      </x:c>
      <x:c r="N6" s="2"/>
      <x:c r="O6" s="2"/>
      <x:c r="P6" s="2"/>
      <x:c r="Q6" s="2"/>
      <x:c r="R6" s="2"/>
      <x:c r="S6" s="2"/>
      <x:c r="T6" s="2"/>
      <x:c r="U6" s="2"/>
      <x:c r="V6" s="2"/>
    </x:row>
    <x:row r="7" ht="24" customHeight="1">
      <x:c r="A7" s="2" t="str">
        <x:v>Avg. first reply (work min)</x:v>
      </x:c>
      <x:c r="B7" s="12" t="n">
        <x:f>AVERAGE(Cases!M6:M125)</x:f>
        <x:v>21.291666666666668</x:v>
      </x:c>
      <x:c r="C7" s="2"/>
      <x:c r="D7" s="2"/>
      <x:c r="E7" s="2"/>
      <x:c r="F7" s="2"/>
      <x:c r="G7" s="2"/>
      <x:c r="H7" s="2"/>
      <x:c r="I7" s="2"/>
      <x:c r="J7" s="2"/>
      <x:c r="K7" s="2"/>
      <x:c r="L7" s="2" t="str">
        <x:v>Employee</x:v>
      </x:c>
      <x:c r="M7" s="2" t="n">
        <x:f>COUNTIFS(Cases!$U$6:$U$125,1,Cases!$K$6:$K$125,L7)</x:f>
        <x:v>3</x:v>
      </x:c>
      <x:c r="N7" s="2"/>
      <x:c r="O7" s="2"/>
      <x:c r="P7" s="2"/>
      <x:c r="Q7" s="2"/>
      <x:c r="R7" s="2"/>
      <x:c r="S7" s="2"/>
      <x:c r="T7" s="2"/>
      <x:c r="U7" s="2"/>
      <x:c r="V7" s="2"/>
    </x:row>
    <x:row r="8" ht="24" customHeight="1">
      <x:c r="A8" s="2" t="str">
        <x:v>Replies within target</x:v>
      </x:c>
      <x:c r="B8" s="11" t="n">
        <x:f>SUM(Cases!N6:N125)</x:f>
        <x:v>112</x:v>
      </x:c>
      <x:c r="C8" s="2"/>
      <x:c r="D8" s="2"/>
      <x:c r="E8" s="2"/>
      <x:c r="F8" s="2"/>
      <x:c r="G8" s="2"/>
      <x:c r="H8" s="2"/>
      <x:c r="I8" s="2"/>
      <x:c r="J8" s="2"/>
      <x:c r="K8" s="2"/>
      <x:c r="L8" s="2" t="str">
        <x:v>System</x:v>
      </x:c>
      <x:c r="M8" s="2" t="n">
        <x:f>COUNTIFS(Cases!$U$6:$U$125,1,Cases!$K$6:$K$125,L8)</x:f>
        <x:v>2</x:v>
      </x:c>
      <x:c r="N8" s="2"/>
      <x:c r="O8" s="2"/>
      <x:c r="P8" s="2"/>
      <x:c r="Q8" s="2"/>
      <x:c r="R8" s="2"/>
      <x:c r="S8" s="2"/>
      <x:c r="T8" s="2"/>
      <x:c r="U8" s="2"/>
      <x:c r="V8" s="2"/>
    </x:row>
    <x:row r="9" ht="24" customHeight="1">
      <x:c r="A9" s="2" t="str">
        <x:v>Prompt reply rate</x:v>
      </x:c>
      <x:c r="B9" s="13" t="n">
        <x:f>B8/B6</x:f>
        <x:v>0.9333333333333333</x:v>
      </x:c>
      <x:c r="C9" s="2"/>
      <x:c r="D9" s="2"/>
      <x:c r="E9" s="2"/>
      <x:c r="F9" s="2"/>
      <x:c r="G9" s="2"/>
      <x:c r="H9" s="2"/>
      <x:c r="I9" s="2"/>
      <x:c r="J9" s="2"/>
      <x:c r="K9" s="2"/>
      <x:c r="L9" s="2" t="str">
        <x:v>Process</x:v>
      </x:c>
      <x:c r="M9" s="2" t="n">
        <x:f>COUNTIFS(Cases!$U$6:$U$125,1,Cases!$K$6:$K$125,L9)</x:f>
        <x:v>1</x:v>
      </x:c>
      <x:c r="N9" s="2"/>
      <x:c r="O9" s="2"/>
      <x:c r="P9" s="2"/>
      <x:c r="Q9" s="2"/>
      <x:c r="R9" s="2"/>
      <x:c r="S9" s="2"/>
      <x:c r="T9" s="2"/>
      <x:c r="U9" s="2"/>
      <x:c r="V9" s="2"/>
    </x:row>
    <x:row r="10" ht="24" customHeight="1">
      <x:c r="A10" s="2" t="str">
        <x:v>Refunds within SLA</x:v>
      </x:c>
      <x:c r="B10" s="13" t="n">
        <x:f>SUM(Cases!T6:T125)/B6</x:f>
        <x:v>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4" customHeight="1">
      <x:c r="A11" s="2" t="str">
        <x:v>Same-day refund rate</x:v>
      </x:c>
      <x:c r="B11" s="13" t="n">
        <x:f>SUM(Cases!R6:R125)/B6</x:f>
        <x:v>0.8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24" customHeight="1">
      <x:c r="A12" s="2" t="str">
        <x:v>Cases needing rework</x:v>
      </x:c>
      <x:c r="B12" s="11" t="n">
        <x:f>SUM(Cases!H6:H125)</x:f>
        <x:v>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24" customHeight="1">
      <x:c r="A13" s="2" t="str">
        <x:v>Rework rate</x:v>
      </x:c>
      <x:c r="B13" s="13" t="n">
        <x:f>B12/B6</x:f>
        <x:v>0.03333333333333333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24" customHeight="1">
      <x:c r="A14" s="2" t="str">
        <x:v>Survey responses</x:v>
      </x:c>
      <x:c r="B14" s="11" t="n">
        <x:f>COUNT(Cases!I6:I125)</x:f>
        <x:v>97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24" customHeight="1">
      <x:c r="A15" s="2" t="str">
        <x:v>Survey coverage</x:v>
      </x:c>
      <x:c r="B15" s="13" t="n">
        <x:f>B14/B6</x:f>
        <x:v>0.8083333333333333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24" customHeight="1">
      <x:c r="A16" s="2" t="str">
        <x:v>Average CSAT (1-5)</x:v>
      </x:c>
      <x:c r="B16" s="12" t="n">
        <x:f>AVERAGE(Cases!I6:I125)</x:f>
        <x:v>4.360824742268041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24" customHeight="1">
      <x:c r="A17" s="2" t="str">
        <x:v>Low ratings (1-2)</x:v>
      </x:c>
      <x:c r="B17" s="11" t="n">
        <x:f>SUM(Cases!U6:U125)</x:f>
        <x:v>6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24" customHeight="1">
      <x:c r="A18" s="2" t="str">
        <x:v>Employee-related low ratings</x:v>
      </x:c>
      <x:c r="B18" s="11" t="n">
        <x:f>COUNTIFS(Cases!U6:U125,1,Cases!K6:K125,"Employee")</x:f>
        <x:v>3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24" customHeight="1">
      <x:c r="A19" s="2" t="str">
        <x:v>No survey response</x:v>
      </x:c>
      <x:c r="B19" s="11" t="n">
        <x:f>B6-B14</x:f>
        <x:v>23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24" customHeight="1">
      <x:c r="A20" s="2" t="str">
        <x:v>Cases for contextual review</x:v>
      </x:c>
      <x:c r="B20" s="11" t="n">
        <x:f>SUM(Cases!V6:V125)</x:f>
        <x:v>12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38" customHeight="1">
      <x:c r="A24" s="7" t="str">
        <x:v>Receipt month</x:v>
      </x:c>
      <x:c r="B24" s="7" t="str">
        <x:v>Cases</x:v>
      </x:c>
      <x:c r="C24" s="7" t="str">
        <x:v>Avg reply min</x:v>
      </x:c>
      <x:c r="D24" s="7" t="str">
        <x:v>Prompt reply %</x:v>
      </x:c>
      <x:c r="E24" s="7" t="str">
        <x:v>Refund SLA %</x:v>
      </x:c>
      <x:c r="F24" s="7" t="str">
        <x:v>Rework cases</x:v>
      </x:c>
      <x:c r="G24" s="7" t="str">
        <x:v>Surveys</x:v>
      </x:c>
      <x:c r="H24" s="7" t="str">
        <x:v>Avg CSAT</x:v>
      </x:c>
      <x:c r="I24" s="7" t="str">
        <x:v>Low ratings</x:v>
      </x:c>
      <x:c r="J24" s="7" t="str">
        <x:v>Employee-related low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25" customHeight="1">
      <x:c r="A25" s="2" t="str">
        <x:f>"Jan "&amp;Guide!$B$10</x:f>
        <x:v>Jan 2025</x:v>
      </x:c>
      <x:c r="B25" s="2" t="n">
        <x:f>COUNTIFS(Cases!$C$6:$C$125,"&gt;="&amp;DATE(Guide!$B$10,1,1),Cases!$C$6:$C$125,"&lt;"&amp;DATE(Guide!$B$10,2,1))</x:f>
        <x:v>10</x:v>
      </x:c>
      <x:c r="C25" s="10" t="n">
        <x:f>AVERAGEIFS(Cases!$M$6:$M$125,Cases!$C$6:$C$125,"&gt;="&amp;DATE(Guide!$B$10,1,1),Cases!$C$6:$C$125,"&lt;"&amp;DATE(Guide!$B$10,2,1))</x:f>
        <x:v>19</x:v>
      </x:c>
      <x:c r="D25" s="9" t="n">
        <x:f>SUMIFS(Cases!$N$6:$N$125,Cases!$C$6:$C$125,"&gt;="&amp;DATE(Guide!$B$10,1,1),Cases!$C$6:$C$125,"&lt;"&amp;DATE(Guide!$B$10,2,1))/B25</x:f>
        <x:v>1</x:v>
      </x:c>
      <x:c r="E25" s="9" t="n">
        <x:f>SUMIFS(Cases!$T$6:$T$125,Cases!$C$6:$C$125,"&gt;="&amp;DATE(Guide!$B$10,1,1),Cases!$C$6:$C$125,"&lt;"&amp;DATE(Guide!$B$10,2,1))/B25</x:f>
        <x:v>1</x:v>
      </x:c>
      <x:c r="F25" s="2" t="n">
        <x:f>SUMIFS(Cases!$H$6:$H$125,Cases!$C$6:$C$125,"&gt;="&amp;DATE(Guide!$B$10,1,1),Cases!$C$6:$C$125,"&lt;"&amp;DATE(Guide!$B$10,2,1))</x:f>
        <x:v>0</x:v>
      </x:c>
      <x:c r="G25" s="2" t="n">
        <x:f>COUNTIFS(Cases!$C$6:$C$125,"&gt;="&amp;DATE(Guide!$B$10,1,1),Cases!$C$6:$C$125,"&lt;"&amp;DATE(Guide!$B$10,2,1),Cases!$I$6:$I$125,"&gt;=1")</x:f>
        <x:v>8</x:v>
      </x:c>
      <x:c r="H25" s="10" t="n">
        <x:f>IF(G25=0,"",SUMIFS(Cases!$I$6:$I$125,Cases!$C$6:$C$125,"&gt;="&amp;DATE(Guide!$B$10,1,1),Cases!$C$6:$C$125,"&lt;"&amp;DATE(Guide!$B$10,2,1))/G25)</x:f>
        <x:v>4.625</x:v>
      </x:c>
      <x:c r="I25" s="2" t="n">
        <x:f>SUMIFS(Cases!$U$6:$U$125,Cases!$C$6:$C$125,"&gt;="&amp;DATE(Guide!$B$10,1,1),Cases!$C$6:$C$125,"&lt;"&amp;DATE(Guide!$B$10,2,1))</x:f>
        <x:v>0</x:v>
      </x:c>
      <x:c r="J25" s="2" t="n">
        <x:f>COUNTIFS(Cases!$C$6:$C$125,"&gt;="&amp;DATE(Guide!$B$10,1,1),Cases!$C$6:$C$125,"&lt;"&amp;DATE(Guide!$B$10,2,1),Cases!$U$6:$U$125,1,Cases!$K$6:$K$125,"Employee")</x:f>
        <x:v>0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25" customHeight="1">
      <x:c r="A26" s="2" t="str">
        <x:f>"Feb "&amp;Guide!$B$10</x:f>
        <x:v>Feb 2025</x:v>
      </x:c>
      <x:c r="B26" s="2" t="n">
        <x:f>COUNTIFS(Cases!$C$6:$C$125,"&gt;="&amp;DATE(Guide!$B$10,2,1),Cases!$C$6:$C$125,"&lt;"&amp;DATE(Guide!$B$10,3,1))</x:f>
        <x:v>10</x:v>
      </x:c>
      <x:c r="C26" s="10" t="n">
        <x:f>AVERAGEIFS(Cases!$M$6:$M$125,Cases!$C$6:$C$125,"&gt;="&amp;DATE(Guide!$B$10,2,1),Cases!$C$6:$C$125,"&lt;"&amp;DATE(Guide!$B$10,3,1))</x:f>
        <x:v>25</x:v>
      </x:c>
      <x:c r="D26" s="9" t="n">
        <x:f>SUMIFS(Cases!$N$6:$N$125,Cases!$C$6:$C$125,"&gt;="&amp;DATE(Guide!$B$10,2,1),Cases!$C$6:$C$125,"&lt;"&amp;DATE(Guide!$B$10,3,1))/B26</x:f>
        <x:v>0.9</x:v>
      </x:c>
      <x:c r="E26" s="9" t="n">
        <x:f>SUMIFS(Cases!$T$6:$T$125,Cases!$C$6:$C$125,"&gt;="&amp;DATE(Guide!$B$10,2,1),Cases!$C$6:$C$125,"&lt;"&amp;DATE(Guide!$B$10,3,1))/B26</x:f>
        <x:v>1</x:v>
      </x:c>
      <x:c r="F26" s="2" t="n">
        <x:f>SUMIFS(Cases!$H$6:$H$125,Cases!$C$6:$C$125,"&gt;="&amp;DATE(Guide!$B$10,2,1),Cases!$C$6:$C$125,"&lt;"&amp;DATE(Guide!$B$10,3,1))</x:f>
        <x:v>0</x:v>
      </x:c>
      <x:c r="G26" s="2" t="n">
        <x:f>COUNTIFS(Cases!$C$6:$C$125,"&gt;="&amp;DATE(Guide!$B$10,2,1),Cases!$C$6:$C$125,"&lt;"&amp;DATE(Guide!$B$10,3,1),Cases!$I$6:$I$125,"&gt;=1")</x:f>
        <x:v>8</x:v>
      </x:c>
      <x:c r="H26" s="10" t="n">
        <x:f>IF(G26=0,"",SUMIFS(Cases!$I$6:$I$125,Cases!$C$6:$C$125,"&gt;="&amp;DATE(Guide!$B$10,2,1),Cases!$C$6:$C$125,"&lt;"&amp;DATE(Guide!$B$10,3,1))/G26)</x:f>
        <x:v>4</x:v>
      </x:c>
      <x:c r="I26" s="2" t="n">
        <x:f>SUMIFS(Cases!$U$6:$U$125,Cases!$C$6:$C$125,"&gt;="&amp;DATE(Guide!$B$10,2,1),Cases!$C$6:$C$125,"&lt;"&amp;DATE(Guide!$B$10,3,1))</x:f>
        <x:v>1</x:v>
      </x:c>
      <x:c r="J26" s="2" t="n">
        <x:f>COUNTIFS(Cases!$C$6:$C$125,"&gt;="&amp;DATE(Guide!$B$10,2,1),Cases!$C$6:$C$125,"&lt;"&amp;DATE(Guide!$B$10,3,1),Cases!$U$6:$U$125,1,Cases!$K$6:$K$125,"Employee")</x:f>
        <x:v>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25" customHeight="1">
      <x:c r="A27" s="2" t="str">
        <x:f>"Mar "&amp;Guide!$B$10</x:f>
        <x:v>Mar 2025</x:v>
      </x:c>
      <x:c r="B27" s="2" t="n">
        <x:f>COUNTIFS(Cases!$C$6:$C$125,"&gt;="&amp;DATE(Guide!$B$10,3,1),Cases!$C$6:$C$125,"&lt;"&amp;DATE(Guide!$B$10,4,1))</x:f>
        <x:v>10</x:v>
      </x:c>
      <x:c r="C27" s="10" t="n">
        <x:f>AVERAGEIFS(Cases!$M$6:$M$125,Cases!$C$6:$C$125,"&gt;="&amp;DATE(Guide!$B$10,3,1),Cases!$C$6:$C$125,"&lt;"&amp;DATE(Guide!$B$10,4,1))</x:f>
        <x:v>22</x:v>
      </x:c>
      <x:c r="D27" s="9" t="n">
        <x:f>SUMIFS(Cases!$N$6:$N$125,Cases!$C$6:$C$125,"&gt;="&amp;DATE(Guide!$B$10,3,1),Cases!$C$6:$C$125,"&lt;"&amp;DATE(Guide!$B$10,4,1))/B27</x:f>
        <x:v>0.9</x:v>
      </x:c>
      <x:c r="E27" s="9" t="n">
        <x:f>SUMIFS(Cases!$T$6:$T$125,Cases!$C$6:$C$125,"&gt;="&amp;DATE(Guide!$B$10,3,1),Cases!$C$6:$C$125,"&lt;"&amp;DATE(Guide!$B$10,4,1))/B27</x:f>
        <x:v>1</x:v>
      </x:c>
      <x:c r="F27" s="2" t="n">
        <x:f>SUMIFS(Cases!$H$6:$H$125,Cases!$C$6:$C$125,"&gt;="&amp;DATE(Guide!$B$10,3,1),Cases!$C$6:$C$125,"&lt;"&amp;DATE(Guide!$B$10,4,1))</x:f>
        <x:v>1</x:v>
      </x:c>
      <x:c r="G27" s="2" t="n">
        <x:f>COUNTIFS(Cases!$C$6:$C$125,"&gt;="&amp;DATE(Guide!$B$10,3,1),Cases!$C$6:$C$125,"&lt;"&amp;DATE(Guide!$B$10,4,1),Cases!$I$6:$I$125,"&gt;=1")</x:f>
        <x:v>8</x:v>
      </x:c>
      <x:c r="H27" s="10" t="n">
        <x:f>IF(G27=0,"",SUMIFS(Cases!$I$6:$I$125,Cases!$C$6:$C$125,"&gt;="&amp;DATE(Guide!$B$10,3,1),Cases!$C$6:$C$125,"&lt;"&amp;DATE(Guide!$B$10,4,1))/G27)</x:f>
        <x:v>4.25</x:v>
      </x:c>
      <x:c r="I27" s="2" t="n">
        <x:f>SUMIFS(Cases!$U$6:$U$125,Cases!$C$6:$C$125,"&gt;="&amp;DATE(Guide!$B$10,3,1),Cases!$C$6:$C$125,"&lt;"&amp;DATE(Guide!$B$10,4,1))</x:f>
        <x:v>1</x:v>
      </x:c>
      <x:c r="J27" s="2" t="n">
        <x:f>COUNTIFS(Cases!$C$6:$C$125,"&gt;="&amp;DATE(Guide!$B$10,3,1),Cases!$C$6:$C$125,"&lt;"&amp;DATE(Guide!$B$10,4,1),Cases!$U$6:$U$125,1,Cases!$K$6:$K$125,"Employee")</x:f>
        <x:v>0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25" customHeight="1">
      <x:c r="A28" s="2" t="str">
        <x:f>"Apr "&amp;Guide!$B$10</x:f>
        <x:v>Apr 2025</x:v>
      </x:c>
      <x:c r="B28" s="2" t="n">
        <x:f>COUNTIFS(Cases!$C$6:$C$125,"&gt;="&amp;DATE(Guide!$B$10,4,1),Cases!$C$6:$C$125,"&lt;"&amp;DATE(Guide!$B$10,5,1))</x:f>
        <x:v>10</x:v>
      </x:c>
      <x:c r="C28" s="10" t="n">
        <x:f>AVERAGEIFS(Cases!$M$6:$M$125,Cases!$C$6:$C$125,"&gt;="&amp;DATE(Guide!$B$10,4,1),Cases!$C$6:$C$125,"&lt;"&amp;DATE(Guide!$B$10,5,1))</x:f>
        <x:v>27</x:v>
      </x:c>
      <x:c r="D28" s="9" t="n">
        <x:f>SUMIFS(Cases!$N$6:$N$125,Cases!$C$6:$C$125,"&gt;="&amp;DATE(Guide!$B$10,4,1),Cases!$C$6:$C$125,"&lt;"&amp;DATE(Guide!$B$10,5,1))/B28</x:f>
        <x:v>0.9</x:v>
      </x:c>
      <x:c r="E28" s="9" t="n">
        <x:f>SUMIFS(Cases!$T$6:$T$125,Cases!$C$6:$C$125,"&gt;="&amp;DATE(Guide!$B$10,4,1),Cases!$C$6:$C$125,"&lt;"&amp;DATE(Guide!$B$10,5,1))/B28</x:f>
        <x:v>1</x:v>
      </x:c>
      <x:c r="F28" s="2" t="n">
        <x:f>SUMIFS(Cases!$H$6:$H$125,Cases!$C$6:$C$125,"&gt;="&amp;DATE(Guide!$B$10,4,1),Cases!$C$6:$C$125,"&lt;"&amp;DATE(Guide!$B$10,5,1))</x:f>
        <x:v>0</x:v>
      </x:c>
      <x:c r="G28" s="2" t="n">
        <x:f>COUNTIFS(Cases!$C$6:$C$125,"&gt;="&amp;DATE(Guide!$B$10,4,1),Cases!$C$6:$C$125,"&lt;"&amp;DATE(Guide!$B$10,5,1),Cases!$I$6:$I$125,"&gt;=1")</x:f>
        <x:v>8</x:v>
      </x:c>
      <x:c r="H28" s="10" t="n">
        <x:f>IF(G28=0,"",SUMIFS(Cases!$I$6:$I$125,Cases!$C$6:$C$125,"&gt;="&amp;DATE(Guide!$B$10,4,1),Cases!$C$6:$C$125,"&lt;"&amp;DATE(Guide!$B$10,5,1))/G28)</x:f>
        <x:v>4.5</x:v>
      </x:c>
      <x:c r="I28" s="2" t="n">
        <x:f>SUMIFS(Cases!$U$6:$U$125,Cases!$C$6:$C$125,"&gt;="&amp;DATE(Guide!$B$10,4,1),Cases!$C$6:$C$125,"&lt;"&amp;DATE(Guide!$B$10,5,1))</x:f>
        <x:v>0</x:v>
      </x:c>
      <x:c r="J28" s="2" t="n">
        <x:f>COUNTIFS(Cases!$C$6:$C$125,"&gt;="&amp;DATE(Guide!$B$10,4,1),Cases!$C$6:$C$125,"&lt;"&amp;DATE(Guide!$B$10,5,1),Cases!$U$6:$U$125,1,Cases!$K$6:$K$125,"Employee")</x:f>
        <x:v>0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25" customHeight="1">
      <x:c r="A29" s="2" t="str">
        <x:f>"May "&amp;Guide!$B$10</x:f>
        <x:v>May 2025</x:v>
      </x:c>
      <x:c r="B29" s="2" t="n">
        <x:f>COUNTIFS(Cases!$C$6:$C$125,"&gt;="&amp;DATE(Guide!$B$10,5,1),Cases!$C$6:$C$125,"&lt;"&amp;DATE(Guide!$B$10,6,1))</x:f>
        <x:v>10</x:v>
      </x:c>
      <x:c r="C29" s="10" t="n">
        <x:f>AVERAGEIFS(Cases!$M$6:$M$125,Cases!$C$6:$C$125,"&gt;="&amp;DATE(Guide!$B$10,5,1),Cases!$C$6:$C$125,"&lt;"&amp;DATE(Guide!$B$10,6,1))</x:f>
        <x:v>20</x:v>
      </x:c>
      <x:c r="D29" s="9" t="n">
        <x:f>SUMIFS(Cases!$N$6:$N$125,Cases!$C$6:$C$125,"&gt;="&amp;DATE(Guide!$B$10,5,1),Cases!$C$6:$C$125,"&lt;"&amp;DATE(Guide!$B$10,6,1))/B29</x:f>
        <x:v>1</x:v>
      </x:c>
      <x:c r="E29" s="9" t="n">
        <x:f>SUMIFS(Cases!$T$6:$T$125,Cases!$C$6:$C$125,"&gt;="&amp;DATE(Guide!$B$10,5,1),Cases!$C$6:$C$125,"&lt;"&amp;DATE(Guide!$B$10,6,1))/B29</x:f>
        <x:v>1</x:v>
      </x:c>
      <x:c r="F29" s="2" t="n">
        <x:f>SUMIFS(Cases!$H$6:$H$125,Cases!$C$6:$C$125,"&gt;="&amp;DATE(Guide!$B$10,5,1),Cases!$C$6:$C$125,"&lt;"&amp;DATE(Guide!$B$10,6,1))</x:f>
        <x:v>0</x:v>
      </x:c>
      <x:c r="G29" s="2" t="n">
        <x:f>COUNTIFS(Cases!$C$6:$C$125,"&gt;="&amp;DATE(Guide!$B$10,5,1),Cases!$C$6:$C$125,"&lt;"&amp;DATE(Guide!$B$10,6,1),Cases!$I$6:$I$125,"&gt;=1")</x:f>
        <x:v>8</x:v>
      </x:c>
      <x:c r="H29" s="10" t="n">
        <x:f>IF(G29=0,"",SUMIFS(Cases!$I$6:$I$125,Cases!$C$6:$C$125,"&gt;="&amp;DATE(Guide!$B$10,5,1),Cases!$C$6:$C$125,"&lt;"&amp;DATE(Guide!$B$10,6,1))/G29)</x:f>
        <x:v>4.625</x:v>
      </x:c>
      <x:c r="I29" s="2" t="n">
        <x:f>SUMIFS(Cases!$U$6:$U$125,Cases!$C$6:$C$125,"&gt;="&amp;DATE(Guide!$B$10,5,1),Cases!$C$6:$C$125,"&lt;"&amp;DATE(Guide!$B$10,6,1))</x:f>
        <x:v>0</x:v>
      </x:c>
      <x:c r="J29" s="2" t="n">
        <x:f>COUNTIFS(Cases!$C$6:$C$125,"&gt;="&amp;DATE(Guide!$B$10,5,1),Cases!$C$6:$C$125,"&lt;"&amp;DATE(Guide!$B$10,6,1),Cases!$U$6:$U$125,1,Cases!$K$6:$K$125,"Employee")</x:f>
        <x:v>0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25" customHeight="1">
      <x:c r="A30" s="2" t="str">
        <x:f>"Jun "&amp;Guide!$B$10</x:f>
        <x:v>Jun 2025</x:v>
      </x:c>
      <x:c r="B30" s="2" t="n">
        <x:f>COUNTIFS(Cases!$C$6:$C$125,"&gt;="&amp;DATE(Guide!$B$10,6,1),Cases!$C$6:$C$125,"&lt;"&amp;DATE(Guide!$B$10,7,1))</x:f>
        <x:v>10</x:v>
      </x:c>
      <x:c r="C30" s="10" t="n">
        <x:f>AVERAGEIFS(Cases!$M$6:$M$125,Cases!$C$6:$C$125,"&gt;="&amp;DATE(Guide!$B$10,6,1),Cases!$C$6:$C$125,"&lt;"&amp;DATE(Guide!$B$10,7,1))</x:f>
        <x:v>25.5</x:v>
      </x:c>
      <x:c r="D30" s="9" t="n">
        <x:f>SUMIFS(Cases!$N$6:$N$125,Cases!$C$6:$C$125,"&gt;="&amp;DATE(Guide!$B$10,6,1),Cases!$C$6:$C$125,"&lt;"&amp;DATE(Guide!$B$10,7,1))/B30</x:f>
        <x:v>0.9</x:v>
      </x:c>
      <x:c r="E30" s="9" t="n">
        <x:f>SUMIFS(Cases!$T$6:$T$125,Cases!$C$6:$C$125,"&gt;="&amp;DATE(Guide!$B$10,6,1),Cases!$C$6:$C$125,"&lt;"&amp;DATE(Guide!$B$10,7,1))/B30</x:f>
        <x:v>1</x:v>
      </x:c>
      <x:c r="F30" s="2" t="n">
        <x:f>SUMIFS(Cases!$H$6:$H$125,Cases!$C$6:$C$125,"&gt;="&amp;DATE(Guide!$B$10,6,1),Cases!$C$6:$C$125,"&lt;"&amp;DATE(Guide!$B$10,7,1))</x:f>
        <x:v>1</x:v>
      </x:c>
      <x:c r="G30" s="2" t="n">
        <x:f>COUNTIFS(Cases!$C$6:$C$125,"&gt;="&amp;DATE(Guide!$B$10,6,1),Cases!$C$6:$C$125,"&lt;"&amp;DATE(Guide!$B$10,7,1),Cases!$I$6:$I$125,"&gt;=1")</x:f>
        <x:v>8</x:v>
      </x:c>
      <x:c r="H30" s="10" t="n">
        <x:f>IF(G30=0,"",SUMIFS(Cases!$I$6:$I$125,Cases!$C$6:$C$125,"&gt;="&amp;DATE(Guide!$B$10,6,1),Cases!$C$6:$C$125,"&lt;"&amp;DATE(Guide!$B$10,7,1))/G30)</x:f>
        <x:v>4.5</x:v>
      </x:c>
      <x:c r="I30" s="2" t="n">
        <x:f>SUMIFS(Cases!$U$6:$U$125,Cases!$C$6:$C$125,"&gt;="&amp;DATE(Guide!$B$10,6,1),Cases!$C$6:$C$125,"&lt;"&amp;DATE(Guide!$B$10,7,1))</x:f>
        <x:v>1</x:v>
      </x:c>
      <x:c r="J30" s="2" t="n">
        <x:f>COUNTIFS(Cases!$C$6:$C$125,"&gt;="&amp;DATE(Guide!$B$10,6,1),Cases!$C$6:$C$125,"&lt;"&amp;DATE(Guide!$B$10,7,1),Cases!$U$6:$U$125,1,Cases!$K$6:$K$125,"Employee")</x:f>
        <x:v>1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25" customHeight="1">
      <x:c r="A31" s="2" t="str">
        <x:f>"Jul "&amp;Guide!$B$10</x:f>
        <x:v>Jul 2025</x:v>
      </x:c>
      <x:c r="B31" s="2" t="n">
        <x:f>COUNTIFS(Cases!$C$6:$C$125,"&gt;="&amp;DATE(Guide!$B$10,7,1),Cases!$C$6:$C$125,"&lt;"&amp;DATE(Guide!$B$10,8,1))</x:f>
        <x:v>10</x:v>
      </x:c>
      <x:c r="C31" s="10" t="n">
        <x:f>AVERAGEIFS(Cases!$M$6:$M$125,Cases!$C$6:$C$125,"&gt;="&amp;DATE(Guide!$B$10,7,1),Cases!$C$6:$C$125,"&lt;"&amp;DATE(Guide!$B$10,8,1))</x:f>
        <x:v>19.5</x:v>
      </x:c>
      <x:c r="D31" s="9" t="n">
        <x:f>SUMIFS(Cases!$N$6:$N$125,Cases!$C$6:$C$125,"&gt;="&amp;DATE(Guide!$B$10,7,1),Cases!$C$6:$C$125,"&lt;"&amp;DATE(Guide!$B$10,8,1))/B31</x:f>
        <x:v>0.9</x:v>
      </x:c>
      <x:c r="E31" s="9" t="n">
        <x:f>SUMIFS(Cases!$T$6:$T$125,Cases!$C$6:$C$125,"&gt;="&amp;DATE(Guide!$B$10,7,1),Cases!$C$6:$C$125,"&lt;"&amp;DATE(Guide!$B$10,8,1))/B31</x:f>
        <x:v>1</x:v>
      </x:c>
      <x:c r="F31" s="2" t="n">
        <x:f>SUMIFS(Cases!$H$6:$H$125,Cases!$C$6:$C$125,"&gt;="&amp;DATE(Guide!$B$10,7,1),Cases!$C$6:$C$125,"&lt;"&amp;DATE(Guide!$B$10,8,1))</x:f>
        <x:v>0</x:v>
      </x:c>
      <x:c r="G31" s="2" t="n">
        <x:f>COUNTIFS(Cases!$C$6:$C$125,"&gt;="&amp;DATE(Guide!$B$10,7,1),Cases!$C$6:$C$125,"&lt;"&amp;DATE(Guide!$B$10,8,1),Cases!$I$6:$I$125,"&gt;=1")</x:f>
        <x:v>8</x:v>
      </x:c>
      <x:c r="H31" s="10" t="n">
        <x:f>IF(G31=0,"",SUMIFS(Cases!$I$6:$I$125,Cases!$C$6:$C$125,"&gt;="&amp;DATE(Guide!$B$10,7,1),Cases!$C$6:$C$125,"&lt;"&amp;DATE(Guide!$B$10,8,1))/G31)</x:f>
        <x:v>3.875</x:v>
      </x:c>
      <x:c r="I31" s="2" t="n">
        <x:f>SUMIFS(Cases!$U$6:$U$125,Cases!$C$6:$C$125,"&gt;="&amp;DATE(Guide!$B$10,7,1),Cases!$C$6:$C$125,"&lt;"&amp;DATE(Guide!$B$10,8,1))</x:f>
        <x:v>1</x:v>
      </x:c>
      <x:c r="J31" s="2" t="n">
        <x:f>COUNTIFS(Cases!$C$6:$C$125,"&gt;="&amp;DATE(Guide!$B$10,7,1),Cases!$C$6:$C$125,"&lt;"&amp;DATE(Guide!$B$10,8,1),Cases!$U$6:$U$125,1,Cases!$K$6:$K$125,"Employee")</x:f>
        <x:v>0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25" customHeight="1">
      <x:c r="A32" s="2" t="str">
        <x:f>"Aug "&amp;Guide!$B$10</x:f>
        <x:v>Aug 2025</x:v>
      </x:c>
      <x:c r="B32" s="2" t="n">
        <x:f>COUNTIFS(Cases!$C$6:$C$125,"&gt;="&amp;DATE(Guide!$B$10,8,1),Cases!$C$6:$C$125,"&lt;"&amp;DATE(Guide!$B$10,9,1))</x:f>
        <x:v>10</x:v>
      </x:c>
      <x:c r="C32" s="10" t="n">
        <x:f>AVERAGEIFS(Cases!$M$6:$M$125,Cases!$C$6:$C$125,"&gt;="&amp;DATE(Guide!$B$10,8,1),Cases!$C$6:$C$125,"&lt;"&amp;DATE(Guide!$B$10,9,1))</x:f>
        <x:v>19.5</x:v>
      </x:c>
      <x:c r="D32" s="9" t="n">
        <x:f>SUMIFS(Cases!$N$6:$N$125,Cases!$C$6:$C$125,"&gt;="&amp;DATE(Guide!$B$10,8,1),Cases!$C$6:$C$125,"&lt;"&amp;DATE(Guide!$B$10,9,1))/B32</x:f>
        <x:v>0.9</x:v>
      </x:c>
      <x:c r="E32" s="9" t="n">
        <x:f>SUMIFS(Cases!$T$6:$T$125,Cases!$C$6:$C$125,"&gt;="&amp;DATE(Guide!$B$10,8,1),Cases!$C$6:$C$125,"&lt;"&amp;DATE(Guide!$B$10,9,1))/B32</x:f>
        <x:v>1</x:v>
      </x:c>
      <x:c r="F32" s="2" t="n">
        <x:f>SUMIFS(Cases!$H$6:$H$125,Cases!$C$6:$C$125,"&gt;="&amp;DATE(Guide!$B$10,8,1),Cases!$C$6:$C$125,"&lt;"&amp;DATE(Guide!$B$10,9,1))</x:f>
        <x:v>0</x:v>
      </x:c>
      <x:c r="G32" s="2" t="n">
        <x:f>COUNTIFS(Cases!$C$6:$C$125,"&gt;="&amp;DATE(Guide!$B$10,8,1),Cases!$C$6:$C$125,"&lt;"&amp;DATE(Guide!$B$10,9,1),Cases!$I$6:$I$125,"&gt;=1")</x:f>
        <x:v>8</x:v>
      </x:c>
      <x:c r="H32" s="10" t="n">
        <x:f>IF(G32=0,"",SUMIFS(Cases!$I$6:$I$125,Cases!$C$6:$C$125,"&gt;="&amp;DATE(Guide!$B$10,8,1),Cases!$C$6:$C$125,"&lt;"&amp;DATE(Guide!$B$10,9,1))/G32)</x:f>
        <x:v>4.375</x:v>
      </x:c>
      <x:c r="I32" s="2" t="n">
        <x:f>SUMIFS(Cases!$U$6:$U$125,Cases!$C$6:$C$125,"&gt;="&amp;DATE(Guide!$B$10,8,1),Cases!$C$6:$C$125,"&lt;"&amp;DATE(Guide!$B$10,9,1))</x:f>
        <x:v>0</x:v>
      </x:c>
      <x:c r="J32" s="2" t="n">
        <x:f>COUNTIFS(Cases!$C$6:$C$125,"&gt;="&amp;DATE(Guide!$B$10,8,1),Cases!$C$6:$C$125,"&lt;"&amp;DATE(Guide!$B$10,9,1),Cases!$U$6:$U$125,1,Cases!$K$6:$K$125,"Employee")</x:f>
        <x:v>0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25" customHeight="1">
      <x:c r="A33" s="2" t="str">
        <x:f>"Sep "&amp;Guide!$B$10</x:f>
        <x:v>Sep 2025</x:v>
      </x:c>
      <x:c r="B33" s="2" t="n">
        <x:f>COUNTIFS(Cases!$C$6:$C$125,"&gt;="&amp;DATE(Guide!$B$10,9,1),Cases!$C$6:$C$125,"&lt;"&amp;DATE(Guide!$B$10,10,1))</x:f>
        <x:v>10</x:v>
      </x:c>
      <x:c r="C33" s="10" t="n">
        <x:f>AVERAGEIFS(Cases!$M$6:$M$125,Cases!$C$6:$C$125,"&gt;="&amp;DATE(Guide!$B$10,9,1),Cases!$C$6:$C$125,"&lt;"&amp;DATE(Guide!$B$10,10,1))</x:f>
        <x:v>17</x:v>
      </x:c>
      <x:c r="D33" s="9" t="n">
        <x:f>SUMIFS(Cases!$N$6:$N$125,Cases!$C$6:$C$125,"&gt;="&amp;DATE(Guide!$B$10,9,1),Cases!$C$6:$C$125,"&lt;"&amp;DATE(Guide!$B$10,10,1))/B33</x:f>
        <x:v>1</x:v>
      </x:c>
      <x:c r="E33" s="9" t="n">
        <x:f>SUMIFS(Cases!$T$6:$T$125,Cases!$C$6:$C$125,"&gt;="&amp;DATE(Guide!$B$10,9,1),Cases!$C$6:$C$125,"&lt;"&amp;DATE(Guide!$B$10,10,1))/B33</x:f>
        <x:v>1</x:v>
      </x:c>
      <x:c r="F33" s="2" t="n">
        <x:f>SUMIFS(Cases!$H$6:$H$125,Cases!$C$6:$C$125,"&gt;="&amp;DATE(Guide!$B$10,9,1),Cases!$C$6:$C$125,"&lt;"&amp;DATE(Guide!$B$10,10,1))</x:f>
        <x:v>1</x:v>
      </x:c>
      <x:c r="G33" s="2" t="n">
        <x:f>COUNTIFS(Cases!$C$6:$C$125,"&gt;="&amp;DATE(Guide!$B$10,9,1),Cases!$C$6:$C$125,"&lt;"&amp;DATE(Guide!$B$10,10,1),Cases!$I$6:$I$125,"&gt;=1")</x:f>
        <x:v>8</x:v>
      </x:c>
      <x:c r="H33" s="10" t="n">
        <x:f>IF(G33=0,"",SUMIFS(Cases!$I$6:$I$125,Cases!$C$6:$C$125,"&gt;="&amp;DATE(Guide!$B$10,9,1),Cases!$C$6:$C$125,"&lt;"&amp;DATE(Guide!$B$10,10,1))/G33)</x:f>
        <x:v>4.75</x:v>
      </x:c>
      <x:c r="I33" s="2" t="n">
        <x:f>SUMIFS(Cases!$U$6:$U$125,Cases!$C$6:$C$125,"&gt;="&amp;DATE(Guide!$B$10,9,1),Cases!$C$6:$C$125,"&lt;"&amp;DATE(Guide!$B$10,10,1))</x:f>
        <x:v>0</x:v>
      </x:c>
      <x:c r="J33" s="2" t="n">
        <x:f>COUNTIFS(Cases!$C$6:$C$125,"&gt;="&amp;DATE(Guide!$B$10,9,1),Cases!$C$6:$C$125,"&lt;"&amp;DATE(Guide!$B$10,10,1),Cases!$U$6:$U$125,1,Cases!$K$6:$K$125,"Employee")</x:f>
        <x:v>0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25" customHeight="1">
      <x:c r="A34" s="2" t="str">
        <x:f>"Oct "&amp;Guide!$B$10</x:f>
        <x:v>Oct 2025</x:v>
      </x:c>
      <x:c r="B34" s="2" t="n">
        <x:f>COUNTIFS(Cases!$C$6:$C$125,"&gt;="&amp;DATE(Guide!$B$10,10,1),Cases!$C$6:$C$125,"&lt;"&amp;DATE(Guide!$B$10,11,1))</x:f>
        <x:v>10</x:v>
      </x:c>
      <x:c r="C34" s="10" t="n">
        <x:f>AVERAGEIFS(Cases!$M$6:$M$125,Cases!$C$6:$C$125,"&gt;="&amp;DATE(Guide!$B$10,10,1),Cases!$C$6:$C$125,"&lt;"&amp;DATE(Guide!$B$10,11,1))</x:f>
        <x:v>21.5</x:v>
      </x:c>
      <x:c r="D34" s="9" t="n">
        <x:f>SUMIFS(Cases!$N$6:$N$125,Cases!$C$6:$C$125,"&gt;="&amp;DATE(Guide!$B$10,10,1),Cases!$C$6:$C$125,"&lt;"&amp;DATE(Guide!$B$10,11,1))/B34</x:f>
        <x:v>0.9</x:v>
      </x:c>
      <x:c r="E34" s="9" t="n">
        <x:f>SUMIFS(Cases!$T$6:$T$125,Cases!$C$6:$C$125,"&gt;="&amp;DATE(Guide!$B$10,10,1),Cases!$C$6:$C$125,"&lt;"&amp;DATE(Guide!$B$10,11,1))/B34</x:f>
        <x:v>1</x:v>
      </x:c>
      <x:c r="F34" s="2" t="n">
        <x:f>SUMIFS(Cases!$H$6:$H$125,Cases!$C$6:$C$125,"&gt;="&amp;DATE(Guide!$B$10,10,1),Cases!$C$6:$C$125,"&lt;"&amp;DATE(Guide!$B$10,11,1))</x:f>
        <x:v>0</x:v>
      </x:c>
      <x:c r="G34" s="2" t="n">
        <x:f>COUNTIFS(Cases!$C$6:$C$125,"&gt;="&amp;DATE(Guide!$B$10,10,1),Cases!$C$6:$C$125,"&lt;"&amp;DATE(Guide!$B$10,11,1),Cases!$I$6:$I$125,"&gt;=1")</x:f>
        <x:v>8</x:v>
      </x:c>
      <x:c r="H34" s="10" t="n">
        <x:f>IF(G34=0,"",SUMIFS(Cases!$I$6:$I$125,Cases!$C$6:$C$125,"&gt;="&amp;DATE(Guide!$B$10,10,1),Cases!$C$6:$C$125,"&lt;"&amp;DATE(Guide!$B$10,11,1))/G34)</x:f>
        <x:v>4.25</x:v>
      </x:c>
      <x:c r="I34" s="2" t="n">
        <x:f>SUMIFS(Cases!$U$6:$U$125,Cases!$C$6:$C$125,"&gt;="&amp;DATE(Guide!$B$10,10,1),Cases!$C$6:$C$125,"&lt;"&amp;DATE(Guide!$B$10,11,1))</x:f>
        <x:v>1</x:v>
      </x:c>
      <x:c r="J34" s="2" t="n">
        <x:f>COUNTIFS(Cases!$C$6:$C$125,"&gt;="&amp;DATE(Guide!$B$10,10,1),Cases!$C$6:$C$125,"&lt;"&amp;DATE(Guide!$B$10,11,1),Cases!$U$6:$U$125,1,Cases!$K$6:$K$125,"Employee")</x:f>
        <x:v>1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25" customHeight="1">
      <x:c r="A35" s="2" t="str">
        <x:f>"Nov "&amp;Guide!$B$10</x:f>
        <x:v>Nov 2025</x:v>
      </x:c>
      <x:c r="B35" s="2" t="n">
        <x:f>COUNTIFS(Cases!$C$6:$C$125,"&gt;="&amp;DATE(Guide!$B$10,11,1),Cases!$C$6:$C$125,"&lt;"&amp;DATE(Guide!$B$10,12,1))</x:f>
        <x:v>10</x:v>
      </x:c>
      <x:c r="C35" s="10" t="n">
        <x:f>AVERAGEIFS(Cases!$M$6:$M$125,Cases!$C$6:$C$125,"&gt;="&amp;DATE(Guide!$B$10,11,1),Cases!$C$6:$C$125,"&lt;"&amp;DATE(Guide!$B$10,12,1))</x:f>
        <x:v>23</x:v>
      </x:c>
      <x:c r="D35" s="9" t="n">
        <x:f>SUMIFS(Cases!$N$6:$N$125,Cases!$C$6:$C$125,"&gt;="&amp;DATE(Guide!$B$10,11,1),Cases!$C$6:$C$125,"&lt;"&amp;DATE(Guide!$B$10,12,1))/B35</x:f>
        <x:v>1</x:v>
      </x:c>
      <x:c r="E35" s="9" t="n">
        <x:f>SUMIFS(Cases!$T$6:$T$125,Cases!$C$6:$C$125,"&gt;="&amp;DATE(Guide!$B$10,11,1),Cases!$C$6:$C$125,"&lt;"&amp;DATE(Guide!$B$10,12,1))/B35</x:f>
        <x:v>1</x:v>
      </x:c>
      <x:c r="F35" s="2" t="n">
        <x:f>SUMIFS(Cases!$H$6:$H$125,Cases!$C$6:$C$125,"&gt;="&amp;DATE(Guide!$B$10,11,1),Cases!$C$6:$C$125,"&lt;"&amp;DATE(Guide!$B$10,12,1))</x:f>
        <x:v>0</x:v>
      </x:c>
      <x:c r="G35" s="2" t="n">
        <x:f>COUNTIFS(Cases!$C$6:$C$125,"&gt;="&amp;DATE(Guide!$B$10,11,1),Cases!$C$6:$C$125,"&lt;"&amp;DATE(Guide!$B$10,12,1),Cases!$I$6:$I$125,"&gt;=1")</x:f>
        <x:v>9</x:v>
      </x:c>
      <x:c r="H35" s="10" t="n">
        <x:f>IF(G35=0,"",SUMIFS(Cases!$I$6:$I$125,Cases!$C$6:$C$125,"&gt;="&amp;DATE(Guide!$B$10,11,1),Cases!$C$6:$C$125,"&lt;"&amp;DATE(Guide!$B$10,12,1))/G35)</x:f>
        <x:v>4</x:v>
      </x:c>
      <x:c r="I35" s="2" t="n">
        <x:f>SUMIFS(Cases!$U$6:$U$125,Cases!$C$6:$C$125,"&gt;="&amp;DATE(Guide!$B$10,11,1),Cases!$C$6:$C$125,"&lt;"&amp;DATE(Guide!$B$10,12,1))</x:f>
        <x:v>1</x:v>
      </x:c>
      <x:c r="J35" s="2" t="n">
        <x:f>COUNTIFS(Cases!$C$6:$C$125,"&gt;="&amp;DATE(Guide!$B$10,11,1),Cases!$C$6:$C$125,"&lt;"&amp;DATE(Guide!$B$10,12,1),Cases!$U$6:$U$125,1,Cases!$K$6:$K$125,"Employee")</x:f>
        <x:v>0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25" customHeight="1">
      <x:c r="A36" s="2" t="str">
        <x:f>"Dec "&amp;Guide!$B$10</x:f>
        <x:v>Dec 2025</x:v>
      </x:c>
      <x:c r="B36" s="2" t="n">
        <x:f>COUNTIFS(Cases!$C$6:$C$125,"&gt;="&amp;DATE(Guide!$B$10,12,1),Cases!$C$6:$C$125,"&lt;"&amp;DATE(Guide!$B$10,13,1))</x:f>
        <x:v>10</x:v>
      </x:c>
      <x:c r="C36" s="10" t="n">
        <x:f>AVERAGEIFS(Cases!$M$6:$M$125,Cases!$C$6:$C$125,"&gt;="&amp;DATE(Guide!$B$10,12,1),Cases!$C$6:$C$125,"&lt;"&amp;DATE(Guide!$B$10,13,1))</x:f>
        <x:v>16.5</x:v>
      </x:c>
      <x:c r="D36" s="9" t="n">
        <x:f>SUMIFS(Cases!$N$6:$N$125,Cases!$C$6:$C$125,"&gt;="&amp;DATE(Guide!$B$10,12,1),Cases!$C$6:$C$125,"&lt;"&amp;DATE(Guide!$B$10,13,1))/B36</x:f>
        <x:v>0.9</x:v>
      </x:c>
      <x:c r="E36" s="9" t="n">
        <x:f>SUMIFS(Cases!$T$6:$T$125,Cases!$C$6:$C$125,"&gt;="&amp;DATE(Guide!$B$10,12,1),Cases!$C$6:$C$125,"&lt;"&amp;DATE(Guide!$B$10,13,1))/B36</x:f>
        <x:v>1</x:v>
      </x:c>
      <x:c r="F36" s="2" t="n">
        <x:f>SUMIFS(Cases!$H$6:$H$125,Cases!$C$6:$C$125,"&gt;="&amp;DATE(Guide!$B$10,12,1),Cases!$C$6:$C$125,"&lt;"&amp;DATE(Guide!$B$10,13,1))</x:f>
        <x:v>1</x:v>
      </x:c>
      <x:c r="G36" s="2" t="n">
        <x:f>COUNTIFS(Cases!$C$6:$C$125,"&gt;="&amp;DATE(Guide!$B$10,12,1),Cases!$C$6:$C$125,"&lt;"&amp;DATE(Guide!$B$10,13,1),Cases!$I$6:$I$125,"&gt;=1")</x:f>
        <x:v>8</x:v>
      </x:c>
      <x:c r="H36" s="10" t="n">
        <x:f>IF(G36=0,"",SUMIFS(Cases!$I$6:$I$125,Cases!$C$6:$C$125,"&gt;="&amp;DATE(Guide!$B$10,12,1),Cases!$C$6:$C$125,"&lt;"&amp;DATE(Guide!$B$10,13,1))/G36)</x:f>
        <x:v>4.625</x:v>
      </x:c>
      <x:c r="I36" s="2" t="n">
        <x:f>SUMIFS(Cases!$U$6:$U$125,Cases!$C$6:$C$125,"&gt;="&amp;DATE(Guide!$B$10,12,1),Cases!$C$6:$C$125,"&lt;"&amp;DATE(Guide!$B$10,13,1))</x:f>
        <x:v>0</x:v>
      </x:c>
      <x:c r="J36" s="2" t="n">
        <x:f>COUNTIFS(Cases!$C$6:$C$125,"&gt;="&amp;DATE(Guide!$B$10,12,1),Cases!$C$6:$C$125,"&lt;"&amp;DATE(Guide!$B$10,13,1),Cases!$U$6:$U$125,1,Cases!$K$6:$K$125,"Employee")</x:f>
        <x:v>0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25" customHeight="1">
      <x:c r="A37" s="17" t="str">
        <x:v>Full year</x:v>
      </x:c>
      <x:c r="B37" s="17" t="n">
        <x:f>SUM(B25:B36)</x:f>
        <x:v>120</x:v>
      </x:c>
      <x:c r="C37" s="18" t="n">
        <x:f>B7</x:f>
        <x:v>21.291666666666668</x:v>
      </x:c>
      <x:c r="D37" s="19" t="n">
        <x:f>B9</x:f>
        <x:v>0.9333333333333333</x:v>
      </x:c>
      <x:c r="E37" s="19" t="n">
        <x:f>B10</x:f>
        <x:v>1</x:v>
      </x:c>
      <x:c r="F37" s="17" t="n">
        <x:f>SUM(F25:F36)</x:f>
        <x:v>4</x:v>
      </x:c>
      <x:c r="G37" s="17" t="n">
        <x:f>SUM(G25:G36)</x:f>
        <x:v>97</x:v>
      </x:c>
      <x:c r="H37" s="18" t="n">
        <x:f>B16</x:f>
        <x:v>4.360824742268041</x:v>
      </x:c>
      <x:c r="I37" s="17" t="n">
        <x:f>SUM(I25:I36)</x:f>
        <x:v>6</x:v>
      </x:c>
      <x:c r="J37" s="17" t="n">
        <x:f>SUM(J25:J36)</x:f>
        <x:v>3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0" t="str">
        <x:v>Review Cases with needs_review = 1. A flag is a prompt to inspect evidence, not a finding of fault.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0" t="str">
        <x:v>Use workload, speed, quality and feedback together. No automatic bonus score or payout is calculated.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0" t="str">
        <x:v>30 working minutes is a practice target. All performance data and feedback notes are fictional.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0" t="str">
        <x:v>No survey response is not a negative rating. CSAT is calculated only from submitted scores.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</x:sheetData>
  <x:pageMargins left="0.7" right="0.7" top="0.75" bottom="0.75" header="0.3" footer="0.3"/>
  <x:drawing xmlns:r="http://schemas.openxmlformats.org/officeDocument/2006/relationships" r:id="R443b857490514b6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9" hidden="0" customWidth="1"/>
    <x:col min="9" max="9" width="19" hidden="0" customWidth="1"/>
    <x:col min="10" max="10" width="26" hidden="0" customWidth="1"/>
    <x:col min="11" max="11" width="26" hidden="0" customWidth="1"/>
    <x:col min="12" max="12" width="65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Synthetic employee service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 t="str">
        <x:v>Fictional EMP-01. A:L are inputs; M:V are formulas. Filter needs_review = 1 for contextual review.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38" customHeight="1">
      <x:c r="A5" s="7" t="str">
        <x:v>case_id</x:v>
      </x:c>
      <x:c r="B5" s="7" t="str">
        <x:v>employee_id</x:v>
      </x:c>
      <x:c r="C5" s="7" t="str">
        <x:v>received_at</x:v>
      </x:c>
      <x:c r="D5" s="7" t="str">
        <x:v>first_response_at</x:v>
      </x:c>
      <x:c r="E5" s="7" t="str">
        <x:v>verified_at</x:v>
      </x:c>
      <x:c r="F5" s="7" t="str">
        <x:v>refunded_at</x:v>
      </x:c>
      <x:c r="G5" s="7" t="str">
        <x:v>amount_vnd</x:v>
      </x:c>
      <x:c r="H5" s="7" t="str">
        <x:v>rework_required</x:v>
      </x:c>
      <x:c r="I5" s="7" t="str">
        <x:v>csat_score</x:v>
      </x:c>
      <x:c r="J5" s="7" t="str">
        <x:v>feedback_theme</x:v>
      </x:c>
      <x:c r="K5" s="7" t="str">
        <x:v>feedback_responsibility</x:v>
      </x:c>
      <x:c r="L5" s="7" t="str">
        <x:v>feedback_note</x:v>
      </x:c>
      <x:c r="M5" s="7" t="str">
        <x:v>response_work_minutes</x:v>
      </x:c>
      <x:c r="N5" s="7" t="str">
        <x:v>response_target_met</x:v>
      </x:c>
      <x:c r="O5" s="7" t="str">
        <x:v>verification_workdays</x:v>
      </x:c>
      <x:c r="P5" s="7" t="str">
        <x:v>customer_wait_hours</x:v>
      </x:c>
      <x:c r="Q5" s="7" t="str">
        <x:v>accounting_wait_work_minutes</x:v>
      </x:c>
      <x:c r="R5" s="7" t="str">
        <x:v>same_day_refund</x:v>
      </x:c>
      <x:c r="S5" s="7" t="str">
        <x:v>sla_deadline</x:v>
      </x:c>
      <x:c r="T5" s="7" t="str">
        <x:v>within_sla</x:v>
      </x:c>
      <x:c r="U5" s="7" t="str">
        <x:v>low_rating</x:v>
      </x:c>
      <x:c r="V5" s="7" t="str">
        <x:v>needs_review</x:v>
      </x:c>
    </x:row>
    <x:row r="6" ht="25" customHeight="1">
      <x:c r="A6" s="31" t="str">
        <x:v>CASE-01-001</x:v>
      </x:c>
      <x:c r="B6" s="31" t="str">
        <x:v>EMP-01</x:v>
      </x:c>
      <x:c r="C6" s="32" t="n">
        <x:v>45660.46527777778</x:v>
      </x:c>
      <x:c r="D6" s="32" t="n">
        <x:v>45660.47222222222</x:v>
      </x:c>
      <x:c r="E6" s="32" t="n">
        <x:v>45660.50347222222</x:v>
      </x:c>
      <x:c r="F6" s="32" t="n">
        <x:v>45660.70138888889</x:v>
      </x:c>
      <x:c r="G6" s="33" t="n">
        <x:v>5000000</x:v>
      </x:c>
      <x:c r="H6" s="31" t="n">
        <x:v>0</x:v>
      </x:c>
      <x:c r="I6" s="31" t="n">
        <x:v>5</x:v>
      </x:c>
      <x:c r="J6" s="31" t="str">
        <x:v>Positive</x:v>
      </x:c>
      <x:c r="K6" s="31" t="str">
        <x:v>None</x:v>
      </x:c>
      <x:c r="L6" s="31" t="str">
        <x:v>Customer reports a clear and helpful resolution.</x:v>
      </x:c>
      <x:c r="M6" s="15" t="n">
        <x:f>ROUND(((NETWORKDAYS(INT(C6),INT(D6),Guide!$E$5:$E$30)-1)*(Guide!$B$8-Guide!$B$7)+MOD(D6,1)-MOD(C6,1))*1440,2)</x:f>
        <x:v>10</x:v>
      </x:c>
      <x:c r="N6" s="14" t="n">
        <x:f>IF(M6&lt;=Guide!$B$6,1,0)</x:f>
        <x:v>1</x:v>
      </x:c>
      <x:c r="O6" s="14" t="n">
        <x:f>NETWORKDAYS(INT(C6),INT(E6),Guide!$E$5:$E$30)-1</x:f>
        <x:v>0</x:v>
      </x:c>
      <x:c r="P6" s="15" t="n">
        <x:f>(F6-C6)*24</x:f>
        <x:v>5.666666666627862</x:v>
      </x:c>
      <x:c r="Q6" s="15" t="n">
        <x:f>ROUND(((NETWORKDAYS(INT(E6),INT(F6),Guide!$E$5:$E$30)-1)*(Guide!$B$8-Guide!$B$7)+MOD(F6,1)-MOD(E6,1))*1440,2)</x:f>
        <x:v>285</x:v>
      </x:c>
      <x:c r="R6" s="14" t="n">
        <x:f>IF(INT(C6)=INT(F6),1,0)</x:f>
        <x:v>1</x:v>
      </x:c>
      <x:c r="S6" s="34" t="n">
        <x:f>WORKDAY(INT(C6),Guide!$B$5,Guide!$E$5:$E$30)+Guide!$B$8</x:f>
        <x:v>45667.708333333336</x:v>
      </x:c>
      <x:c r="T6" s="14" t="n">
        <x:f>IF(F6&lt;=S6,1,0)</x:f>
        <x:v>1</x:v>
      </x:c>
      <x:c r="U6" s="14" t="n">
        <x:f>IF(I6="","",IF(I6&lt;=Guide!$B$11,1,0))</x:f>
        <x:v>0</x:v>
      </x:c>
      <x:c r="V6" s="14" t="n">
        <x:f>IF(OR(N6=0,H6=1,U6=1),1,0)</x:f>
        <x:v>0</x:v>
      </x:c>
    </x:row>
    <x:row r="7" ht="25" customHeight="1">
      <x:c r="A7" s="31" t="str">
        <x:v>CASE-01-002</x:v>
      </x:c>
      <x:c r="B7" s="31" t="str">
        <x:v>EMP-01</x:v>
      </x:c>
      <x:c r="C7" s="32" t="n">
        <x:v>45663.694444444445</x:v>
      </x:c>
      <x:c r="D7" s="32" t="n">
        <x:v>45663.70486111111</x:v>
      </x:c>
      <x:c r="E7" s="32" t="n">
        <x:v>45664.381944444445</x:v>
      </x:c>
      <x:c r="F7" s="32" t="n">
        <x:v>45664.70138888889</x:v>
      </x:c>
      <x:c r="G7" s="33" t="n">
        <x:v>3000000</x:v>
      </x:c>
      <x:c r="H7" s="31" t="n">
        <x:v>0</x:v>
      </x:c>
      <x:c r="I7" s="31" t="n">
        <x:v>5</x:v>
      </x:c>
      <x:c r="J7" s="31" t="str">
        <x:v>Positive</x:v>
      </x:c>
      <x:c r="K7" s="31" t="str">
        <x:v>None</x:v>
      </x:c>
      <x:c r="L7" s="31" t="str">
        <x:v>Customer reports a clear and helpful resolution.</x:v>
      </x:c>
      <x:c r="M7" s="15" t="n">
        <x:f>ROUND(((NETWORKDAYS(INT(C7),INT(D7),Guide!$E$5:$E$30)-1)*(Guide!$B$8-Guide!$B$7)+MOD(D7,1)-MOD(C7,1))*1440,2)</x:f>
        <x:v>15</x:v>
      </x:c>
      <x:c r="N7" s="14" t="n">
        <x:f>IF(M7&lt;=Guide!$B$6,1,0)</x:f>
        <x:v>1</x:v>
      </x:c>
      <x:c r="O7" s="14" t="n">
        <x:f>NETWORKDAYS(INT(C7),INT(E7),Guide!$E$5:$E$30)-1</x:f>
        <x:v>1</x:v>
      </x:c>
      <x:c r="P7" s="15" t="n">
        <x:f>(F7-C7)*24</x:f>
        <x:v>24.16666666668607</x:v>
      </x:c>
      <x:c r="Q7" s="15" t="n">
        <x:f>ROUND(((NETWORKDAYS(INT(E7),INT(F7),Guide!$E$5:$E$30)-1)*(Guide!$B$8-Guide!$B$7)+MOD(F7,1)-MOD(E7,1))*1440,2)</x:f>
        <x:v>460</x:v>
      </x:c>
      <x:c r="R7" s="14" t="n">
        <x:f>IF(INT(C7)=INT(F7),1,0)</x:f>
        <x:v>0</x:v>
      </x:c>
      <x:c r="S7" s="34" t="n">
        <x:f>WORKDAY(INT(C7),Guide!$B$5,Guide!$E$5:$E$30)+Guide!$B$8</x:f>
        <x:v>45670.708333333336</x:v>
      </x:c>
      <x:c r="T7" s="14" t="n">
        <x:f>IF(F7&lt;=S7,1,0)</x:f>
        <x:v>1</x:v>
      </x:c>
      <x:c r="U7" s="14" t="n">
        <x:f>IF(I7="","",IF(I7&lt;=Guide!$B$11,1,0))</x:f>
        <x:v>0</x:v>
      </x:c>
      <x:c r="V7" s="14" t="n">
        <x:f>IF(OR(N7=0,H7=1,U7=1),1,0)</x:f>
        <x:v>0</x:v>
      </x:c>
    </x:row>
    <x:row r="8" ht="25" customHeight="1">
      <x:c r="A8" s="31" t="str">
        <x:v>CASE-01-003</x:v>
      </x:c>
      <x:c r="B8" s="31" t="str">
        <x:v>EMP-01</x:v>
      </x:c>
      <x:c r="C8" s="32" t="n">
        <x:v>45664.59722222222</x:v>
      </x:c>
      <x:c r="D8" s="32" t="n">
        <x:v>45664.60763888889</x:v>
      </x:c>
      <x:c r="E8" s="32" t="n">
        <x:v>45664.62847222222</x:v>
      </x:c>
      <x:c r="F8" s="32" t="n">
        <x:v>45664.70138888889</x:v>
      </x:c>
      <x:c r="G8" s="33" t="n">
        <x:v>3000000</x:v>
      </x:c>
      <x:c r="H8" s="31" t="n">
        <x:v>0</x:v>
      </x:c>
      <x:c r="I8" s="31" t="n">
        <x:v>4</x:v>
      </x:c>
      <x:c r="J8" s="31" t="str">
        <x:v>Positive</x:v>
      </x:c>
      <x:c r="K8" s="31" t="str">
        <x:v>None</x:v>
      </x:c>
      <x:c r="L8" s="31" t="str">
        <x:v>Customer reports a clear and helpful resolution.</x:v>
      </x:c>
      <x:c r="M8" s="15" t="n">
        <x:f>ROUND(((NETWORKDAYS(INT(C8),INT(D8),Guide!$E$5:$E$30)-1)*(Guide!$B$8-Guide!$B$7)+MOD(D8,1)-MOD(C8,1))*1440,2)</x:f>
        <x:v>15</x:v>
      </x:c>
      <x:c r="N8" s="14" t="n">
        <x:f>IF(M8&lt;=Guide!$B$6,1,0)</x:f>
        <x:v>1</x:v>
      </x:c>
      <x:c r="O8" s="14" t="n">
        <x:f>NETWORKDAYS(INT(C8),INT(E8),Guide!$E$5:$E$30)-1</x:f>
        <x:v>0</x:v>
      </x:c>
      <x:c r="P8" s="15" t="n">
        <x:f>(F8-C8)*24</x:f>
        <x:v>2.5000000001164153</x:v>
      </x:c>
      <x:c r="Q8" s="15" t="n">
        <x:f>ROUND(((NETWORKDAYS(INT(E8),INT(F8),Guide!$E$5:$E$30)-1)*(Guide!$B$8-Guide!$B$7)+MOD(F8,1)-MOD(E8,1))*1440,2)</x:f>
        <x:v>105</x:v>
      </x:c>
      <x:c r="R8" s="14" t="n">
        <x:f>IF(INT(C8)=INT(F8),1,0)</x:f>
        <x:v>1</x:v>
      </x:c>
      <x:c r="S8" s="34" t="n">
        <x:f>WORKDAY(INT(C8),Guide!$B$5,Guide!$E$5:$E$30)+Guide!$B$8</x:f>
        <x:v>45671.708333333336</x:v>
      </x:c>
      <x:c r="T8" s="14" t="n">
        <x:f>IF(F8&lt;=S8,1,0)</x:f>
        <x:v>1</x:v>
      </x:c>
      <x:c r="U8" s="14" t="n">
        <x:f>IF(I8="","",IF(I8&lt;=Guide!$B$11,1,0))</x:f>
        <x:v>0</x:v>
      </x:c>
      <x:c r="V8" s="14" t="n">
        <x:f>IF(OR(N8=0,H8=1,U8=1),1,0)</x:f>
        <x:v>0</x:v>
      </x:c>
    </x:row>
    <x:row r="9" ht="25" customHeight="1">
      <x:c r="A9" s="31" t="str">
        <x:v>CASE-01-004</x:v>
      </x:c>
      <x:c r="B9" s="31" t="str">
        <x:v>EMP-01</x:v>
      </x:c>
      <x:c r="C9" s="32" t="n">
        <x:v>45665.34722222222</x:v>
      </x:c>
      <x:c r="D9" s="32" t="n">
        <x:v>45665.368055555555</x:v>
      </x:c>
      <x:c r="E9" s="32" t="n">
        <x:v>45665.40972222222</x:v>
      </x:c>
      <x:c r="F9" s="32" t="n">
        <x:v>45665.70138888889</x:v>
      </x:c>
      <x:c r="G9" s="33" t="n">
        <x:v>3000000</x:v>
      </x:c>
      <x:c r="H9" s="31" t="n">
        <x:v>0</x:v>
      </x:c>
      <x:c r="I9" s="31" t="n">
        <x:v>5</x:v>
      </x:c>
      <x:c r="J9" s="31" t="str">
        <x:v>Positive</x:v>
      </x:c>
      <x:c r="K9" s="31" t="str">
        <x:v>None</x:v>
      </x:c>
      <x:c r="L9" s="31" t="str">
        <x:v>Customer reports a clear and helpful resolution.</x:v>
      </x:c>
      <x:c r="M9" s="15" t="n">
        <x:f>ROUND(((NETWORKDAYS(INT(C9),INT(D9),Guide!$E$5:$E$30)-1)*(Guide!$B$8-Guide!$B$7)+MOD(D9,1)-MOD(C9,1))*1440,2)</x:f>
        <x:v>30</x:v>
      </x:c>
      <x:c r="N9" s="14" t="n">
        <x:f>IF(M9&lt;=Guide!$B$6,1,0)</x:f>
        <x:v>1</x:v>
      </x:c>
      <x:c r="O9" s="14" t="n">
        <x:f>NETWORKDAYS(INT(C9),INT(E9),Guide!$E$5:$E$30)-1</x:f>
        <x:v>0</x:v>
      </x:c>
      <x:c r="P9" s="15" t="n">
        <x:f>(F9-C9)*24</x:f>
        <x:v>8.500000000116415</x:v>
      </x:c>
      <x:c r="Q9" s="15" t="n">
        <x:f>ROUND(((NETWORKDAYS(INT(E9),INT(F9),Guide!$E$5:$E$30)-1)*(Guide!$B$8-Guide!$B$7)+MOD(F9,1)-MOD(E9,1))*1440,2)</x:f>
        <x:v>420</x:v>
      </x:c>
      <x:c r="R9" s="14" t="n">
        <x:f>IF(INT(C9)=INT(F9),1,0)</x:f>
        <x:v>1</x:v>
      </x:c>
      <x:c r="S9" s="34" t="n">
        <x:f>WORKDAY(INT(C9),Guide!$B$5,Guide!$E$5:$E$30)+Guide!$B$8</x:f>
        <x:v>45672.708333333336</x:v>
      </x:c>
      <x:c r="T9" s="14" t="n">
        <x:f>IF(F9&lt;=S9,1,0)</x:f>
        <x:v>1</x:v>
      </x:c>
      <x:c r="U9" s="14" t="n">
        <x:f>IF(I9="","",IF(I9&lt;=Guide!$B$11,1,0))</x:f>
        <x:v>0</x:v>
      </x:c>
      <x:c r="V9" s="14" t="n">
        <x:f>IF(OR(N9=0,H9=1,U9=1),1,0)</x:f>
        <x:v>0</x:v>
      </x:c>
    </x:row>
    <x:row r="10" ht="25" customHeight="1">
      <x:c r="A10" s="31" t="str">
        <x:v>CASE-01-005</x:v>
      </x:c>
      <x:c r="B10" s="31" t="str">
        <x:v>EMP-01</x:v>
      </x:c>
      <x:c r="C10" s="32" t="n">
        <x:v>45670.416666666664</x:v>
      </x:c>
      <x:c r="D10" s="32" t="n">
        <x:v>45670.42013888889</x:v>
      </x:c>
      <x:c r="E10" s="32" t="n">
        <x:v>45670.45138888889</x:v>
      </x:c>
      <x:c r="F10" s="32" t="n">
        <x:v>45670.70138888889</x:v>
      </x:c>
      <x:c r="G10" s="33" t="n">
        <x:v>200000</x:v>
      </x:c>
      <x:c r="H10" s="31" t="n">
        <x:v>0</x:v>
      </x:c>
      <x:c r="I10" s="31"/>
      <x:c r="J10" s="31" t="str">
        <x:v>No feedback</x:v>
      </x:c>
      <x:c r="K10" s="31" t="str">
        <x:v>Not assessed</x:v>
      </x:c>
      <x:c r="L10" s="31" t="str">
        <x:v>No survey response.</x:v>
      </x:c>
      <x:c r="M10" s="15" t="n">
        <x:f>ROUND(((NETWORKDAYS(INT(C10),INT(D10),Guide!$E$5:$E$30)-1)*(Guide!$B$8-Guide!$B$7)+MOD(D10,1)-MOD(C10,1))*1440,2)</x:f>
        <x:v>5</x:v>
      </x:c>
      <x:c r="N10" s="14" t="n">
        <x:f>IF(M10&lt;=Guide!$B$6,1,0)</x:f>
        <x:v>1</x:v>
      </x:c>
      <x:c r="O10" s="14" t="n">
        <x:f>NETWORKDAYS(INT(C10),INT(E10),Guide!$E$5:$E$30)-1</x:f>
        <x:v>0</x:v>
      </x:c>
      <x:c r="P10" s="15" t="n">
        <x:f>(F10-C10)*24</x:f>
        <x:v>6.833333333430346</x:v>
      </x:c>
      <x:c r="Q10" s="15" t="n">
        <x:f>ROUND(((NETWORKDAYS(INT(E10),INT(F10),Guide!$E$5:$E$30)-1)*(Guide!$B$8-Guide!$B$7)+MOD(F10,1)-MOD(E10,1))*1440,2)</x:f>
        <x:v>360</x:v>
      </x:c>
      <x:c r="R10" s="14" t="n">
        <x:f>IF(INT(C10)=INT(F10),1,0)</x:f>
        <x:v>1</x:v>
      </x:c>
      <x:c r="S10" s="34" t="n">
        <x:f>WORKDAY(INT(C10),Guide!$B$5,Guide!$E$5:$E$30)+Guide!$B$8</x:f>
        <x:v>45677.708333333336</x:v>
      </x:c>
      <x:c r="T10" s="14" t="n">
        <x:f>IF(F10&lt;=S10,1,0)</x:f>
        <x:v>1</x:v>
      </x:c>
      <x:c r="U10" s="14" t="str">
        <x:f>IF(I10="","",IF(I10&lt;=Guide!$B$11,1,0))</x:f>
      </x:c>
      <x:c r="V10" s="14" t="n">
        <x:f>IF(OR(N10=0,H10=1,U10=1),1,0)</x:f>
        <x:v>0</x:v>
      </x:c>
    </x:row>
    <x:row r="11" ht="25" customHeight="1">
      <x:c r="A11" s="31" t="str">
        <x:v>CASE-01-006</x:v>
      </x:c>
      <x:c r="B11" s="31" t="str">
        <x:v>EMP-01</x:v>
      </x:c>
      <x:c r="C11" s="32" t="n">
        <x:v>45671.458333333336</x:v>
      </x:c>
      <x:c r="D11" s="32" t="n">
        <x:v>45671.475694444445</x:v>
      </x:c>
      <x:c r="E11" s="32" t="n">
        <x:v>45671.489583333336</x:v>
      </x:c>
      <x:c r="F11" s="32" t="n">
        <x:v>45671.70138888889</x:v>
      </x:c>
      <x:c r="G11" s="33" t="n">
        <x:v>2000000</x:v>
      </x:c>
      <x:c r="H11" s="31" t="n">
        <x:v>0</x:v>
      </x:c>
      <x:c r="I11" s="31" t="n">
        <x:v>5</x:v>
      </x:c>
      <x:c r="J11" s="31" t="str">
        <x:v>Positive</x:v>
      </x:c>
      <x:c r="K11" s="31" t="str">
        <x:v>None</x:v>
      </x:c>
      <x:c r="L11" s="31" t="str">
        <x:v>Customer reports a clear and helpful resolution.</x:v>
      </x:c>
      <x:c r="M11" s="15" t="n">
        <x:f>ROUND(((NETWORKDAYS(INT(C11),INT(D11),Guide!$E$5:$E$30)-1)*(Guide!$B$8-Guide!$B$7)+MOD(D11,1)-MOD(C11,1))*1440,2)</x:f>
        <x:v>25</x:v>
      </x:c>
      <x:c r="N11" s="14" t="n">
        <x:f>IF(M11&lt;=Guide!$B$6,1,0)</x:f>
        <x:v>1</x:v>
      </x:c>
      <x:c r="O11" s="14" t="n">
        <x:f>NETWORKDAYS(INT(C11),INT(E11),Guide!$E$5:$E$30)-1</x:f>
        <x:v>0</x:v>
      </x:c>
      <x:c r="P11" s="15" t="n">
        <x:f>(F11-C11)*24</x:f>
        <x:v>5.833333333313931</x:v>
      </x:c>
      <x:c r="Q11" s="15" t="n">
        <x:f>ROUND(((NETWORKDAYS(INT(E11),INT(F11),Guide!$E$5:$E$30)-1)*(Guide!$B$8-Guide!$B$7)+MOD(F11,1)-MOD(E11,1))*1440,2)</x:f>
        <x:v>305</x:v>
      </x:c>
      <x:c r="R11" s="14" t="n">
        <x:f>IF(INT(C11)=INT(F11),1,0)</x:f>
        <x:v>1</x:v>
      </x:c>
      <x:c r="S11" s="34" t="n">
        <x:f>WORKDAY(INT(C11),Guide!$B$5,Guide!$E$5:$E$30)+Guide!$B$8</x:f>
        <x:v>45678.708333333336</x:v>
      </x:c>
      <x:c r="T11" s="14" t="n">
        <x:f>IF(F11&lt;=S11,1,0)</x:f>
        <x:v>1</x:v>
      </x:c>
      <x:c r="U11" s="14" t="n">
        <x:f>IF(I11="","",IF(I11&lt;=Guide!$B$11,1,0))</x:f>
        <x:v>0</x:v>
      </x:c>
      <x:c r="V11" s="14" t="n">
        <x:f>IF(OR(N11=0,H11=1,U11=1),1,0)</x:f>
        <x:v>0</x:v>
      </x:c>
    </x:row>
    <x:row r="12" ht="25" customHeight="1">
      <x:c r="A12" s="31" t="str">
        <x:v>CASE-01-007</x:v>
      </x:c>
      <x:c r="B12" s="31" t="str">
        <x:v>EMP-01</x:v>
      </x:c>
      <x:c r="C12" s="32" t="n">
        <x:v>45673.333333333336</x:v>
      </x:c>
      <x:c r="D12" s="32" t="n">
        <x:v>45673.354166666664</x:v>
      </x:c>
      <x:c r="E12" s="32" t="n">
        <x:v>45673.395833333336</x:v>
      </x:c>
      <x:c r="F12" s="32" t="n">
        <x:v>45673.70138888889</x:v>
      </x:c>
      <x:c r="G12" s="33" t="n">
        <x:v>500000</x:v>
      </x:c>
      <x:c r="H12" s="31" t="n">
        <x:v>0</x:v>
      </x:c>
      <x:c r="I12" s="31" t="n">
        <x:v>4</x:v>
      </x:c>
      <x:c r="J12" s="31" t="str">
        <x:v>Positive</x:v>
      </x:c>
      <x:c r="K12" s="31" t="str">
        <x:v>None</x:v>
      </x:c>
      <x:c r="L12" s="31" t="str">
        <x:v>Customer reports a clear and helpful resolution.</x:v>
      </x:c>
      <x:c r="M12" s="15" t="n">
        <x:f>ROUND(((NETWORKDAYS(INT(C12),INT(D12),Guide!$E$5:$E$30)-1)*(Guide!$B$8-Guide!$B$7)+MOD(D12,1)-MOD(C12,1))*1440,2)</x:f>
        <x:v>30</x:v>
      </x:c>
      <x:c r="N12" s="14" t="n">
        <x:f>IF(M12&lt;=Guide!$B$6,1,0)</x:f>
        <x:v>1</x:v>
      </x:c>
      <x:c r="O12" s="14" t="n">
        <x:f>NETWORKDAYS(INT(C12),INT(E12),Guide!$E$5:$E$30)-1</x:f>
        <x:v>0</x:v>
      </x:c>
      <x:c r="P12" s="15" t="n">
        <x:f>(F12-C12)*24</x:f>
        <x:v>8.83333333331393</x:v>
      </x:c>
      <x:c r="Q12" s="15" t="n">
        <x:f>ROUND(((NETWORKDAYS(INT(E12),INT(F12),Guide!$E$5:$E$30)-1)*(Guide!$B$8-Guide!$B$7)+MOD(F12,1)-MOD(E12,1))*1440,2)</x:f>
        <x:v>440</x:v>
      </x:c>
      <x:c r="R12" s="14" t="n">
        <x:f>IF(INT(C12)=INT(F12),1,0)</x:f>
        <x:v>1</x:v>
      </x:c>
      <x:c r="S12" s="34" t="n">
        <x:f>WORKDAY(INT(C12),Guide!$B$5,Guide!$E$5:$E$30)+Guide!$B$8</x:f>
        <x:v>45680.708333333336</x:v>
      </x:c>
      <x:c r="T12" s="14" t="n">
        <x:f>IF(F12&lt;=S12,1,0)</x:f>
        <x:v>1</x:v>
      </x:c>
      <x:c r="U12" s="14" t="n">
        <x:f>IF(I12="","",IF(I12&lt;=Guide!$B$11,1,0))</x:f>
        <x:v>0</x:v>
      </x:c>
      <x:c r="V12" s="14" t="n">
        <x:f>IF(OR(N12=0,H12=1,U12=1),1,0)</x:f>
        <x:v>0</x:v>
      </x:c>
    </x:row>
    <x:row r="13" ht="25" customHeight="1">
      <x:c r="A13" s="31" t="str">
        <x:v>CASE-01-008</x:v>
      </x:c>
      <x:c r="B13" s="31" t="str">
        <x:v>EMP-01</x:v>
      </x:c>
      <x:c r="C13" s="32" t="n">
        <x:v>45677.697916666664</x:v>
      </x:c>
      <x:c r="D13" s="32" t="n">
        <x:v>45678.34375</x:v>
      </x:c>
      <x:c r="E13" s="32" t="n">
        <x:v>45678.38888888889</x:v>
      </x:c>
      <x:c r="F13" s="32" t="n">
        <x:v>45678.70138888889</x:v>
      </x:c>
      <x:c r="G13" s="33" t="n">
        <x:v>5000000</x:v>
      </x:c>
      <x:c r="H13" s="31" t="n">
        <x:v>0</x:v>
      </x:c>
      <x:c r="I13" s="31" t="n">
        <x:v>4</x:v>
      </x:c>
      <x:c r="J13" s="31" t="str">
        <x:v>Positive</x:v>
      </x:c>
      <x:c r="K13" s="31" t="str">
        <x:v>None</x:v>
      </x:c>
      <x:c r="L13" s="31" t="str">
        <x:v>Customer reports a clear and helpful resolution.</x:v>
      </x:c>
      <x:c r="M13" s="15" t="n">
        <x:f>ROUND(((NETWORKDAYS(INT(C13),INT(D13),Guide!$E$5:$E$30)-1)*(Guide!$B$8-Guide!$B$7)+MOD(D13,1)-MOD(C13,1))*1440,2)</x:f>
        <x:v>30</x:v>
      </x:c>
      <x:c r="N13" s="14" t="n">
        <x:f>IF(M13&lt;=Guide!$B$6,1,0)</x:f>
        <x:v>1</x:v>
      </x:c>
      <x:c r="O13" s="14" t="n">
        <x:f>NETWORKDAYS(INT(C13),INT(E13),Guide!$E$5:$E$30)-1</x:f>
        <x:v>1</x:v>
      </x:c>
      <x:c r="P13" s="15" t="n">
        <x:f>(F13-C13)*24</x:f>
        <x:v>24.083333333430346</x:v>
      </x:c>
      <x:c r="Q13" s="15" t="n">
        <x:f>ROUND(((NETWORKDAYS(INT(E13),INT(F13),Guide!$E$5:$E$30)-1)*(Guide!$B$8-Guide!$B$7)+MOD(F13,1)-MOD(E13,1))*1440,2)</x:f>
        <x:v>450</x:v>
      </x:c>
      <x:c r="R13" s="14" t="n">
        <x:f>IF(INT(C13)=INT(F13),1,0)</x:f>
        <x:v>0</x:v>
      </x:c>
      <x:c r="S13" s="34" t="n">
        <x:f>WORKDAY(INT(C13),Guide!$B$5,Guide!$E$5:$E$30)+Guide!$B$8</x:f>
        <x:v>45691.708333333336</x:v>
      </x:c>
      <x:c r="T13" s="14" t="n">
        <x:f>IF(F13&lt;=S13,1,0)</x:f>
        <x:v>1</x:v>
      </x:c>
      <x:c r="U13" s="14" t="n">
        <x:f>IF(I13="","",IF(I13&lt;=Guide!$B$11,1,0))</x:f>
        <x:v>0</x:v>
      </x:c>
      <x:c r="V13" s="14" t="n">
        <x:f>IF(OR(N13=0,H13=1,U13=1),1,0)</x:f>
        <x:v>0</x:v>
      </x:c>
    </x:row>
    <x:row r="14" ht="25" customHeight="1">
      <x:c r="A14" s="31" t="str">
        <x:v>CASE-01-009</x:v>
      </x:c>
      <x:c r="B14" s="31" t="str">
        <x:v>EMP-01</x:v>
      </x:c>
      <x:c r="C14" s="32" t="n">
        <x:v>45678.34027777778</x:v>
      </x:c>
      <x:c r="D14" s="32" t="n">
        <x:v>45678.34375</x:v>
      </x:c>
      <x:c r="E14" s="32" t="n">
        <x:v>45678.375</x:v>
      </x:c>
      <x:c r="F14" s="32" t="n">
        <x:v>45678.70138888889</x:v>
      </x:c>
      <x:c r="G14" s="33" t="n">
        <x:v>1000000</x:v>
      </x:c>
      <x:c r="H14" s="31" t="n">
        <x:v>0</x:v>
      </x:c>
      <x:c r="I14" s="31" t="n">
        <x:v>5</x:v>
      </x:c>
      <x:c r="J14" s="31" t="str">
        <x:v>Positive</x:v>
      </x:c>
      <x:c r="K14" s="31" t="str">
        <x:v>None</x:v>
      </x:c>
      <x:c r="L14" s="31" t="str">
        <x:v>Customer reports a clear and helpful resolution.</x:v>
      </x:c>
      <x:c r="M14" s="15" t="n">
        <x:f>ROUND(((NETWORKDAYS(INT(C14),INT(D14),Guide!$E$5:$E$30)-1)*(Guide!$B$8-Guide!$B$7)+MOD(D14,1)-MOD(C14,1))*1440,2)</x:f>
        <x:v>5</x:v>
      </x:c>
      <x:c r="N14" s="14" t="n">
        <x:f>IF(M14&lt;=Guide!$B$6,1,0)</x:f>
        <x:v>1</x:v>
      </x:c>
      <x:c r="O14" s="14" t="n">
        <x:f>NETWORKDAYS(INT(C14),INT(E14),Guide!$E$5:$E$30)-1</x:f>
        <x:v>0</x:v>
      </x:c>
      <x:c r="P14" s="15" t="n">
        <x:f>(F14-C14)*24</x:f>
        <x:v>8.666666666627862</x:v>
      </x:c>
      <x:c r="Q14" s="15" t="n">
        <x:f>ROUND(((NETWORKDAYS(INT(E14),INT(F14),Guide!$E$5:$E$30)-1)*(Guide!$B$8-Guide!$B$7)+MOD(F14,1)-MOD(E14,1))*1440,2)</x:f>
        <x:v>470</x:v>
      </x:c>
      <x:c r="R14" s="14" t="n">
        <x:f>IF(INT(C14)=INT(F14),1,0)</x:f>
        <x:v>1</x:v>
      </x:c>
      <x:c r="S14" s="34" t="n">
        <x:f>WORKDAY(INT(C14),Guide!$B$5,Guide!$E$5:$E$30)+Guide!$B$8</x:f>
        <x:v>45692.708333333336</x:v>
      </x:c>
      <x:c r="T14" s="14" t="n">
        <x:f>IF(F14&lt;=S14,1,0)</x:f>
        <x:v>1</x:v>
      </x:c>
      <x:c r="U14" s="14" t="n">
        <x:f>IF(I14="","",IF(I14&lt;=Guide!$B$11,1,0))</x:f>
        <x:v>0</x:v>
      </x:c>
      <x:c r="V14" s="14" t="n">
        <x:f>IF(OR(N14=0,H14=1,U14=1),1,0)</x:f>
        <x:v>0</x:v>
      </x:c>
    </x:row>
    <x:row r="15" ht="25" customHeight="1">
      <x:c r="A15" s="31" t="str">
        <x:v>CASE-01-010</x:v>
      </x:c>
      <x:c r="B15" s="31" t="str">
        <x:v>EMP-01</x:v>
      </x:c>
      <x:c r="C15" s="32" t="n">
        <x:v>45681.555555555555</x:v>
      </x:c>
      <x:c r="D15" s="32" t="n">
        <x:v>45681.572916666664</x:v>
      </x:c>
      <x:c r="E15" s="32" t="n">
        <x:v>45681.586805555555</x:v>
      </x:c>
      <x:c r="F15" s="32" t="n">
        <x:v>45681.70138888889</x:v>
      </x:c>
      <x:c r="G15" s="33" t="n">
        <x:v>3000000</x:v>
      </x:c>
      <x:c r="H15" s="31" t="n">
        <x:v>0</x:v>
      </x:c>
      <x:c r="I15" s="31"/>
      <x:c r="J15" s="31" t="str">
        <x:v>No feedback</x:v>
      </x:c>
      <x:c r="K15" s="31" t="str">
        <x:v>Not assessed</x:v>
      </x:c>
      <x:c r="L15" s="31" t="str">
        <x:v>No survey response.</x:v>
      </x:c>
      <x:c r="M15" s="15" t="n">
        <x:f>ROUND(((NETWORKDAYS(INT(C15),INT(D15),Guide!$E$5:$E$30)-1)*(Guide!$B$8-Guide!$B$7)+MOD(D15,1)-MOD(C15,1))*1440,2)</x:f>
        <x:v>25</x:v>
      </x:c>
      <x:c r="N15" s="14" t="n">
        <x:f>IF(M15&lt;=Guide!$B$6,1,0)</x:f>
        <x:v>1</x:v>
      </x:c>
      <x:c r="O15" s="14" t="n">
        <x:f>NETWORKDAYS(INT(C15),INT(E15),Guide!$E$5:$E$30)-1</x:f>
        <x:v>0</x:v>
      </x:c>
      <x:c r="P15" s="15" t="n">
        <x:f>(F15-C15)*24</x:f>
        <x:v>3.5000000000582077</x:v>
      </x:c>
      <x:c r="Q15" s="15" t="n">
        <x:f>ROUND(((NETWORKDAYS(INT(E15),INT(F15),Guide!$E$5:$E$30)-1)*(Guide!$B$8-Guide!$B$7)+MOD(F15,1)-MOD(E15,1))*1440,2)</x:f>
        <x:v>165</x:v>
      </x:c>
      <x:c r="R15" s="14" t="n">
        <x:f>IF(INT(C15)=INT(F15),1,0)</x:f>
        <x:v>1</x:v>
      </x:c>
      <x:c r="S15" s="34" t="n">
        <x:f>WORKDAY(INT(C15),Guide!$B$5,Guide!$E$5:$E$30)+Guide!$B$8</x:f>
        <x:v>45695.708333333336</x:v>
      </x:c>
      <x:c r="T15" s="14" t="n">
        <x:f>IF(F15&lt;=S15,1,0)</x:f>
        <x:v>1</x:v>
      </x:c>
      <x:c r="U15" s="14" t="str">
        <x:f>IF(I15="","",IF(I15&lt;=Guide!$B$11,1,0))</x:f>
      </x:c>
      <x:c r="V15" s="14" t="n">
        <x:f>IF(OR(N15=0,H15=1,U15=1),1,0)</x:f>
        <x:v>0</x:v>
      </x:c>
    </x:row>
    <x:row r="16" ht="25" customHeight="1">
      <x:c r="A16" s="31" t="str">
        <x:v>CASE-02-001</x:v>
      </x:c>
      <x:c r="B16" s="31" t="str">
        <x:v>EMP-01</x:v>
      </x:c>
      <x:c r="C16" s="32" t="n">
        <x:v>45691.416666666664</x:v>
      </x:c>
      <x:c r="D16" s="32" t="n">
        <x:v>45691.4375</x:v>
      </x:c>
      <x:c r="E16" s="32" t="n">
        <x:v>45691.458333333336</x:v>
      </x:c>
      <x:c r="F16" s="32" t="n">
        <x:v>45691.70138888889</x:v>
      </x:c>
      <x:c r="G16" s="33" t="n">
        <x:v>500000</x:v>
      </x:c>
      <x:c r="H16" s="31" t="n">
        <x:v>0</x:v>
      </x:c>
      <x:c r="I16" s="31" t="n">
        <x:v>4</x:v>
      </x:c>
      <x:c r="J16" s="31" t="str">
        <x:v>Positive</x:v>
      </x:c>
      <x:c r="K16" s="31" t="str">
        <x:v>None</x:v>
      </x:c>
      <x:c r="L16" s="31" t="str">
        <x:v>Customer reports a clear and helpful resolution.</x:v>
      </x:c>
      <x:c r="M16" s="15" t="n">
        <x:f>ROUND(((NETWORKDAYS(INT(C16),INT(D16),Guide!$E$5:$E$30)-1)*(Guide!$B$8-Guide!$B$7)+MOD(D16,1)-MOD(C16,1))*1440,2)</x:f>
        <x:v>30</x:v>
      </x:c>
      <x:c r="N16" s="14" t="n">
        <x:f>IF(M16&lt;=Guide!$B$6,1,0)</x:f>
        <x:v>1</x:v>
      </x:c>
      <x:c r="O16" s="14" t="n">
        <x:f>NETWORKDAYS(INT(C16),INT(E16),Guide!$E$5:$E$30)-1</x:f>
        <x:v>0</x:v>
      </x:c>
      <x:c r="P16" s="15" t="n">
        <x:f>(F16-C16)*24</x:f>
        <x:v>6.833333333430346</x:v>
      </x:c>
      <x:c r="Q16" s="15" t="n">
        <x:f>ROUND(((NETWORKDAYS(INT(E16),INT(F16),Guide!$E$5:$E$30)-1)*(Guide!$B$8-Guide!$B$7)+MOD(F16,1)-MOD(E16,1))*1440,2)</x:f>
        <x:v>350</x:v>
      </x:c>
      <x:c r="R16" s="14" t="n">
        <x:f>IF(INT(C16)=INT(F16),1,0)</x:f>
        <x:v>1</x:v>
      </x:c>
      <x:c r="S16" s="34" t="n">
        <x:f>WORKDAY(INT(C16),Guide!$B$5,Guide!$E$5:$E$30)+Guide!$B$8</x:f>
        <x:v>45698.708333333336</x:v>
      </x:c>
      <x:c r="T16" s="14" t="n">
        <x:f>IF(F16&lt;=S16,1,0)</x:f>
        <x:v>1</x:v>
      </x:c>
      <x:c r="U16" s="14" t="n">
        <x:f>IF(I16="","",IF(I16&lt;=Guide!$B$11,1,0))</x:f>
        <x:v>0</x:v>
      </x:c>
      <x:c r="V16" s="14" t="n">
        <x:f>IF(OR(N16=0,H16=1,U16=1),1,0)</x:f>
        <x:v>0</x:v>
      </x:c>
    </x:row>
    <x:row r="17" ht="25" customHeight="1">
      <x:c r="A17" s="31" t="str">
        <x:v>CASE-02-002</x:v>
      </x:c>
      <x:c r="B17" s="31" t="str">
        <x:v>EMP-01</x:v>
      </x:c>
      <x:c r="C17" s="32" t="n">
        <x:v>45695.697916666664</x:v>
      </x:c>
      <x:c r="D17" s="32" t="n">
        <x:v>45695.70486111111</x:v>
      </x:c>
      <x:c r="E17" s="32" t="n">
        <x:v>45698.381944444445</x:v>
      </x:c>
      <x:c r="F17" s="32" t="n">
        <x:v>45698.70138888889</x:v>
      </x:c>
      <x:c r="G17" s="33" t="n">
        <x:v>1000000</x:v>
      </x:c>
      <x:c r="H17" s="31" t="n">
        <x:v>0</x:v>
      </x:c>
      <x:c r="I17" s="31" t="n">
        <x:v>4</x:v>
      </x:c>
      <x:c r="J17" s="31" t="str">
        <x:v>Positive</x:v>
      </x:c>
      <x:c r="K17" s="31" t="str">
        <x:v>None</x:v>
      </x:c>
      <x:c r="L17" s="31" t="str">
        <x:v>Customer reports a clear and helpful resolution.</x:v>
      </x:c>
      <x:c r="M17" s="15" t="n">
        <x:f>ROUND(((NETWORKDAYS(INT(C17),INT(D17),Guide!$E$5:$E$30)-1)*(Guide!$B$8-Guide!$B$7)+MOD(D17,1)-MOD(C17,1))*1440,2)</x:f>
        <x:v>10</x:v>
      </x:c>
      <x:c r="N17" s="14" t="n">
        <x:f>IF(M17&lt;=Guide!$B$6,1,0)</x:f>
        <x:v>1</x:v>
      </x:c>
      <x:c r="O17" s="14" t="n">
        <x:f>NETWORKDAYS(INT(C17),INT(E17),Guide!$E$5:$E$30)-1</x:f>
        <x:v>1</x:v>
      </x:c>
      <x:c r="P17" s="15" t="n">
        <x:f>(F17-C17)*24</x:f>
        <x:v>72.08333333343035</x:v>
      </x:c>
      <x:c r="Q17" s="15" t="n">
        <x:f>ROUND(((NETWORKDAYS(INT(E17),INT(F17),Guide!$E$5:$E$30)-1)*(Guide!$B$8-Guide!$B$7)+MOD(F17,1)-MOD(E17,1))*1440,2)</x:f>
        <x:v>460</x:v>
      </x:c>
      <x:c r="R17" s="14" t="n">
        <x:f>IF(INT(C17)=INT(F17),1,0)</x:f>
        <x:v>0</x:v>
      </x:c>
      <x:c r="S17" s="34" t="n">
        <x:f>WORKDAY(INT(C17),Guide!$B$5,Guide!$E$5:$E$30)+Guide!$B$8</x:f>
        <x:v>45702.708333333336</x:v>
      </x:c>
      <x:c r="T17" s="14" t="n">
        <x:f>IF(F17&lt;=S17,1,0)</x:f>
        <x:v>1</x:v>
      </x:c>
      <x:c r="U17" s="14" t="n">
        <x:f>IF(I17="","",IF(I17&lt;=Guide!$B$11,1,0))</x:f>
        <x:v>0</x:v>
      </x:c>
      <x:c r="V17" s="14" t="n">
        <x:f>IF(OR(N17=0,H17=1,U17=1),1,0)</x:f>
        <x:v>0</x:v>
      </x:c>
    </x:row>
    <x:row r="18" ht="25" customHeight="1">
      <x:c r="A18" s="31" t="str">
        <x:v>CASE-02-003</x:v>
      </x:c>
      <x:c r="B18" s="31" t="str">
        <x:v>EMP-01</x:v>
      </x:c>
      <x:c r="C18" s="32" t="n">
        <x:v>45698.381944444445</x:v>
      </x:c>
      <x:c r="D18" s="32" t="n">
        <x:v>45698.42361111111</x:v>
      </x:c>
      <x:c r="E18" s="32" t="n">
        <x:v>45698.45486111111</x:v>
      </x:c>
      <x:c r="F18" s="32" t="n">
        <x:v>45698.70138888889</x:v>
      </x:c>
      <x:c r="G18" s="33" t="n">
        <x:v>1000000</x:v>
      </x:c>
      <x:c r="H18" s="31" t="n">
        <x:v>0</x:v>
      </x:c>
      <x:c r="I18" s="31" t="n">
        <x:v>2</x:v>
      </x:c>
      <x:c r="J18" s="31" t="str">
        <x:v>Service response</x:v>
      </x:c>
      <x:c r="K18" s="31" t="str">
        <x:v>Employee</x:v>
      </x:c>
      <x:c r="L18" s="31" t="str">
        <x:v>Customer reports a slow initial reply.</x:v>
      </x:c>
      <x:c r="M18" s="15" t="n">
        <x:f>ROUND(((NETWORKDAYS(INT(C18),INT(D18),Guide!$E$5:$E$30)-1)*(Guide!$B$8-Guide!$B$7)+MOD(D18,1)-MOD(C18,1))*1440,2)</x:f>
        <x:v>60</x:v>
      </x:c>
      <x:c r="N18" s="14" t="n">
        <x:f>IF(M18&lt;=Guide!$B$6,1,0)</x:f>
        <x:v>0</x:v>
      </x:c>
      <x:c r="O18" s="14" t="n">
        <x:f>NETWORKDAYS(INT(C18),INT(E18),Guide!$E$5:$E$30)-1</x:f>
        <x:v>0</x:v>
      </x:c>
      <x:c r="P18" s="15" t="n">
        <x:f>(F18-C18)*24</x:f>
        <x:v>7.666666666686069</x:v>
      </x:c>
      <x:c r="Q18" s="15" t="n">
        <x:f>ROUND(((NETWORKDAYS(INT(E18),INT(F18),Guide!$E$5:$E$30)-1)*(Guide!$B$8-Guide!$B$7)+MOD(F18,1)-MOD(E18,1))*1440,2)</x:f>
        <x:v>355</x:v>
      </x:c>
      <x:c r="R18" s="14" t="n">
        <x:f>IF(INT(C18)=INT(F18),1,0)</x:f>
        <x:v>1</x:v>
      </x:c>
      <x:c r="S18" s="34" t="n">
        <x:f>WORKDAY(INT(C18),Guide!$B$5,Guide!$E$5:$E$30)+Guide!$B$8</x:f>
        <x:v>45705.708333333336</x:v>
      </x:c>
      <x:c r="T18" s="14" t="n">
        <x:f>IF(F18&lt;=S18,1,0)</x:f>
        <x:v>1</x:v>
      </x:c>
      <x:c r="U18" s="14" t="n">
        <x:f>IF(I18="","",IF(I18&lt;=Guide!$B$11,1,0))</x:f>
        <x:v>1</x:v>
      </x:c>
      <x:c r="V18" s="14" t="n">
        <x:f>IF(OR(N18=0,H18=1,U18=1),1,0)</x:f>
        <x:v>1</x:v>
      </x:c>
    </x:row>
    <x:row r="19" ht="25" customHeight="1">
      <x:c r="A19" s="31" t="str">
        <x:v>CASE-02-004</x:v>
      </x:c>
      <x:c r="B19" s="31" t="str">
        <x:v>EMP-01</x:v>
      </x:c>
      <x:c r="C19" s="32" t="n">
        <x:v>45699.430555555555</x:v>
      </x:c>
      <x:c r="D19" s="32" t="n">
        <x:v>45699.447916666664</x:v>
      </x:c>
      <x:c r="E19" s="32" t="n">
        <x:v>45699.479166666664</x:v>
      </x:c>
      <x:c r="F19" s="32" t="n">
        <x:v>45699.70138888889</x:v>
      </x:c>
      <x:c r="G19" s="33" t="n">
        <x:v>3000000</x:v>
      </x:c>
      <x:c r="H19" s="31" t="n">
        <x:v>0</x:v>
      </x:c>
      <x:c r="I19" s="31" t="n">
        <x:v>5</x:v>
      </x:c>
      <x:c r="J19" s="31" t="str">
        <x:v>Positive</x:v>
      </x:c>
      <x:c r="K19" s="31" t="str">
        <x:v>None</x:v>
      </x:c>
      <x:c r="L19" s="31" t="str">
        <x:v>Customer reports a clear and helpful resolution.</x:v>
      </x:c>
      <x:c r="M19" s="15" t="n">
        <x:f>ROUND(((NETWORKDAYS(INT(C19),INT(D19),Guide!$E$5:$E$30)-1)*(Guide!$B$8-Guide!$B$7)+MOD(D19,1)-MOD(C19,1))*1440,2)</x:f>
        <x:v>25</x:v>
      </x:c>
      <x:c r="N19" s="14" t="n">
        <x:f>IF(M19&lt;=Guide!$B$6,1,0)</x:f>
        <x:v>1</x:v>
      </x:c>
      <x:c r="O19" s="14" t="n">
        <x:f>NETWORKDAYS(INT(C19),INT(E19),Guide!$E$5:$E$30)-1</x:f>
        <x:v>0</x:v>
      </x:c>
      <x:c r="P19" s="15" t="n">
        <x:f>(F19-C19)*24</x:f>
        <x:v>6.500000000058208</x:v>
      </x:c>
      <x:c r="Q19" s="15" t="n">
        <x:f>ROUND(((NETWORKDAYS(INT(E19),INT(F19),Guide!$E$5:$E$30)-1)*(Guide!$B$8-Guide!$B$7)+MOD(F19,1)-MOD(E19,1))*1440,2)</x:f>
        <x:v>320</x:v>
      </x:c>
      <x:c r="R19" s="14" t="n">
        <x:f>IF(INT(C19)=INT(F19),1,0)</x:f>
        <x:v>1</x:v>
      </x:c>
      <x:c r="S19" s="34" t="n">
        <x:f>WORKDAY(INT(C19),Guide!$B$5,Guide!$E$5:$E$30)+Guide!$B$8</x:f>
        <x:v>45706.708333333336</x:v>
      </x:c>
      <x:c r="T19" s="14" t="n">
        <x:f>IF(F19&lt;=S19,1,0)</x:f>
        <x:v>1</x:v>
      </x:c>
      <x:c r="U19" s="14" t="n">
        <x:f>IF(I19="","",IF(I19&lt;=Guide!$B$11,1,0))</x:f>
        <x:v>0</x:v>
      </x:c>
      <x:c r="V19" s="14" t="n">
        <x:f>IF(OR(N19=0,H19=1,U19=1),1,0)</x:f>
        <x:v>0</x:v>
      </x:c>
    </x:row>
    <x:row r="20" ht="25" customHeight="1">
      <x:c r="A20" s="31" t="str">
        <x:v>CASE-02-005</x:v>
      </x:c>
      <x:c r="B20" s="31" t="str">
        <x:v>EMP-01</x:v>
      </x:c>
      <x:c r="C20" s="32" t="n">
        <x:v>45700.34722222222</x:v>
      </x:c>
      <x:c r="D20" s="32" t="n">
        <x:v>45700.368055555555</x:v>
      </x:c>
      <x:c r="E20" s="32" t="n">
        <x:v>45700.399305555555</x:v>
      </x:c>
      <x:c r="F20" s="32" t="n">
        <x:v>45700.70138888889</x:v>
      </x:c>
      <x:c r="G20" s="33" t="n">
        <x:v>3000000</x:v>
      </x:c>
      <x:c r="H20" s="31" t="n">
        <x:v>0</x:v>
      </x:c>
      <x:c r="I20" s="31"/>
      <x:c r="J20" s="31" t="str">
        <x:v>No feedback</x:v>
      </x:c>
      <x:c r="K20" s="31" t="str">
        <x:v>Not assessed</x:v>
      </x:c>
      <x:c r="L20" s="31" t="str">
        <x:v>No survey response.</x:v>
      </x:c>
      <x:c r="M20" s="15" t="n">
        <x:f>ROUND(((NETWORKDAYS(INT(C20),INT(D20),Guide!$E$5:$E$30)-1)*(Guide!$B$8-Guide!$B$7)+MOD(D20,1)-MOD(C20,1))*1440,2)</x:f>
        <x:v>30</x:v>
      </x:c>
      <x:c r="N20" s="14" t="n">
        <x:f>IF(M20&lt;=Guide!$B$6,1,0)</x:f>
        <x:v>1</x:v>
      </x:c>
      <x:c r="O20" s="14" t="n">
        <x:f>NETWORKDAYS(INT(C20),INT(E20),Guide!$E$5:$E$30)-1</x:f>
        <x:v>0</x:v>
      </x:c>
      <x:c r="P20" s="15" t="n">
        <x:f>(F20-C20)*24</x:f>
        <x:v>8.500000000116415</x:v>
      </x:c>
      <x:c r="Q20" s="15" t="n">
        <x:f>ROUND(((NETWORKDAYS(INT(E20),INT(F20),Guide!$E$5:$E$30)-1)*(Guide!$B$8-Guide!$B$7)+MOD(F20,1)-MOD(E20,1))*1440,2)</x:f>
        <x:v>435</x:v>
      </x:c>
      <x:c r="R20" s="14" t="n">
        <x:f>IF(INT(C20)=INT(F20),1,0)</x:f>
        <x:v>1</x:v>
      </x:c>
      <x:c r="S20" s="34" t="n">
        <x:f>WORKDAY(INT(C20),Guide!$B$5,Guide!$E$5:$E$30)+Guide!$B$8</x:f>
        <x:v>45707.708333333336</x:v>
      </x:c>
      <x:c r="T20" s="14" t="n">
        <x:f>IF(F20&lt;=S20,1,0)</x:f>
        <x:v>1</x:v>
      </x:c>
      <x:c r="U20" s="14" t="str">
        <x:f>IF(I20="","",IF(I20&lt;=Guide!$B$11,1,0))</x:f>
      </x:c>
      <x:c r="V20" s="14" t="n">
        <x:f>IF(OR(N20=0,H20=1,U20=1),1,0)</x:f>
        <x:v>0</x:v>
      </x:c>
    </x:row>
    <x:row r="21" ht="25" customHeight="1">
      <x:c r="A21" s="31" t="str">
        <x:v>CASE-02-006</x:v>
      </x:c>
      <x:c r="B21" s="31" t="str">
        <x:v>EMP-01</x:v>
      </x:c>
      <x:c r="C21" s="32" t="n">
        <x:v>45702.42361111111</x:v>
      </x:c>
      <x:c r="D21" s="32" t="n">
        <x:v>45702.444444444445</x:v>
      </x:c>
      <x:c r="E21" s="32" t="n">
        <x:v>45702.475694444445</x:v>
      </x:c>
      <x:c r="F21" s="32" t="n">
        <x:v>45702.70138888889</x:v>
      </x:c>
      <x:c r="G21" s="33" t="n">
        <x:v>500000</x:v>
      </x:c>
      <x:c r="H21" s="31" t="n">
        <x:v>0</x:v>
      </x:c>
      <x:c r="I21" s="31" t="n">
        <x:v>4</x:v>
      </x:c>
      <x:c r="J21" s="31" t="str">
        <x:v>Positive</x:v>
      </x:c>
      <x:c r="K21" s="31" t="str">
        <x:v>None</x:v>
      </x:c>
      <x:c r="L21" s="31" t="str">
        <x:v>Customer reports a clear and helpful resolution.</x:v>
      </x:c>
      <x:c r="M21" s="15" t="n">
        <x:f>ROUND(((NETWORKDAYS(INT(C21),INT(D21),Guide!$E$5:$E$30)-1)*(Guide!$B$8-Guide!$B$7)+MOD(D21,1)-MOD(C21,1))*1440,2)</x:f>
        <x:v>30</x:v>
      </x:c>
      <x:c r="N21" s="14" t="n">
        <x:f>IF(M21&lt;=Guide!$B$6,1,0)</x:f>
        <x:v>1</x:v>
      </x:c>
      <x:c r="O21" s="14" t="n">
        <x:f>NETWORKDAYS(INT(C21),INT(E21),Guide!$E$5:$E$30)-1</x:f>
        <x:v>0</x:v>
      </x:c>
      <x:c r="P21" s="15" t="n">
        <x:f>(F21-C21)*24</x:f>
        <x:v>6.666666666744277</x:v>
      </x:c>
      <x:c r="Q21" s="15" t="n">
        <x:f>ROUND(((NETWORKDAYS(INT(E21),INT(F21),Guide!$E$5:$E$30)-1)*(Guide!$B$8-Guide!$B$7)+MOD(F21,1)-MOD(E21,1))*1440,2)</x:f>
        <x:v>325</x:v>
      </x:c>
      <x:c r="R21" s="14" t="n">
        <x:f>IF(INT(C21)=INT(F21),1,0)</x:f>
        <x:v>1</x:v>
      </x:c>
      <x:c r="S21" s="34" t="n">
        <x:f>WORKDAY(INT(C21),Guide!$B$5,Guide!$E$5:$E$30)+Guide!$B$8</x:f>
        <x:v>45709.708333333336</x:v>
      </x:c>
      <x:c r="T21" s="14" t="n">
        <x:f>IF(F21&lt;=S21,1,0)</x:f>
        <x:v>1</x:v>
      </x:c>
      <x:c r="U21" s="14" t="n">
        <x:f>IF(I21="","",IF(I21&lt;=Guide!$B$11,1,0))</x:f>
        <x:v>0</x:v>
      </x:c>
      <x:c r="V21" s="14" t="n">
        <x:f>IF(OR(N21=0,H21=1,U21=1),1,0)</x:f>
        <x:v>0</x:v>
      </x:c>
    </x:row>
    <x:row r="22" ht="25" customHeight="1">
      <x:c r="A22" s="31" t="str">
        <x:v>CASE-02-007</x:v>
      </x:c>
      <x:c r="B22" s="31" t="str">
        <x:v>EMP-01</x:v>
      </x:c>
      <x:c r="C22" s="32" t="n">
        <x:v>45705.59027777778</x:v>
      </x:c>
      <x:c r="D22" s="32" t="n">
        <x:v>45705.604166666664</x:v>
      </x:c>
      <x:c r="E22" s="32" t="n">
        <x:v>45705.618055555555</x:v>
      </x:c>
      <x:c r="F22" s="32" t="n">
        <x:v>45705.70138888889</x:v>
      </x:c>
      <x:c r="G22" s="33" t="n">
        <x:v>3000000</x:v>
      </x:c>
      <x:c r="H22" s="31" t="n">
        <x:v>0</x:v>
      </x:c>
      <x:c r="I22" s="31" t="n">
        <x:v>4</x:v>
      </x:c>
      <x:c r="J22" s="31" t="str">
        <x:v>Positive</x:v>
      </x:c>
      <x:c r="K22" s="31" t="str">
        <x:v>None</x:v>
      </x:c>
      <x:c r="L22" s="31" t="str">
        <x:v>Customer reports a clear and helpful resolution.</x:v>
      </x:c>
      <x:c r="M22" s="15" t="n">
        <x:f>ROUND(((NETWORKDAYS(INT(C22),INT(D22),Guide!$E$5:$E$30)-1)*(Guide!$B$8-Guide!$B$7)+MOD(D22,1)-MOD(C22,1))*1440,2)</x:f>
        <x:v>20</x:v>
      </x:c>
      <x:c r="N22" s="14" t="n">
        <x:f>IF(M22&lt;=Guide!$B$6,1,0)</x:f>
        <x:v>1</x:v>
      </x:c>
      <x:c r="O22" s="14" t="n">
        <x:f>NETWORKDAYS(INT(C22),INT(E22),Guide!$E$5:$E$30)-1</x:f>
        <x:v>0</x:v>
      </x:c>
      <x:c r="P22" s="15" t="n">
        <x:f>(F22-C22)*24</x:f>
        <x:v>2.6666666666278616</x:v>
      </x:c>
      <x:c r="Q22" s="15" t="n">
        <x:f>ROUND(((NETWORKDAYS(INT(E22),INT(F22),Guide!$E$5:$E$30)-1)*(Guide!$B$8-Guide!$B$7)+MOD(F22,1)-MOD(E22,1))*1440,2)</x:f>
        <x:v>120</x:v>
      </x:c>
      <x:c r="R22" s="14" t="n">
        <x:f>IF(INT(C22)=INT(F22),1,0)</x:f>
        <x:v>1</x:v>
      </x:c>
      <x:c r="S22" s="34" t="n">
        <x:f>WORKDAY(INT(C22),Guide!$B$5,Guide!$E$5:$E$30)+Guide!$B$8</x:f>
        <x:v>45712.708333333336</x:v>
      </x:c>
      <x:c r="T22" s="14" t="n">
        <x:f>IF(F22&lt;=S22,1,0)</x:f>
        <x:v>1</x:v>
      </x:c>
      <x:c r="U22" s="14" t="n">
        <x:f>IF(I22="","",IF(I22&lt;=Guide!$B$11,1,0))</x:f>
        <x:v>0</x:v>
      </x:c>
      <x:c r="V22" s="14" t="n">
        <x:f>IF(OR(N22=0,H22=1,U22=1),1,0)</x:f>
        <x:v>0</x:v>
      </x:c>
    </x:row>
    <x:row r="23" ht="25" customHeight="1">
      <x:c r="A23" s="31" t="str">
        <x:v>CASE-02-008</x:v>
      </x:c>
      <x:c r="B23" s="31" t="str">
        <x:v>EMP-01</x:v>
      </x:c>
      <x:c r="C23" s="32" t="n">
        <x:v>45706.697916666664</x:v>
      </x:c>
      <x:c r="D23" s="32" t="n">
        <x:v>45707.336805555555</x:v>
      </x:c>
      <x:c r="E23" s="32" t="n">
        <x:v>45707.38888888889</x:v>
      </x:c>
      <x:c r="F23" s="32" t="n">
        <x:v>45707.70138888889</x:v>
      </x:c>
      <x:c r="G23" s="33" t="n">
        <x:v>3000000</x:v>
      </x:c>
      <x:c r="H23" s="31" t="n">
        <x:v>0</x:v>
      </x:c>
      <x:c r="I23" s="31" t="n">
        <x:v>5</x:v>
      </x:c>
      <x:c r="J23" s="31" t="str">
        <x:v>Positive</x:v>
      </x:c>
      <x:c r="K23" s="31" t="str">
        <x:v>None</x:v>
      </x:c>
      <x:c r="L23" s="31" t="str">
        <x:v>Customer reports a clear and helpful resolution.</x:v>
      </x:c>
      <x:c r="M23" s="15" t="n">
        <x:f>ROUND(((NETWORKDAYS(INT(C23),INT(D23),Guide!$E$5:$E$30)-1)*(Guide!$B$8-Guide!$B$7)+MOD(D23,1)-MOD(C23,1))*1440,2)</x:f>
        <x:v>20</x:v>
      </x:c>
      <x:c r="N23" s="14" t="n">
        <x:f>IF(M23&lt;=Guide!$B$6,1,0)</x:f>
        <x:v>1</x:v>
      </x:c>
      <x:c r="O23" s="14" t="n">
        <x:f>NETWORKDAYS(INT(C23),INT(E23),Guide!$E$5:$E$30)-1</x:f>
        <x:v>1</x:v>
      </x:c>
      <x:c r="P23" s="15" t="n">
        <x:f>(F23-C23)*24</x:f>
        <x:v>24.083333333430346</x:v>
      </x:c>
      <x:c r="Q23" s="15" t="n">
        <x:f>ROUND(((NETWORKDAYS(INT(E23),INT(F23),Guide!$E$5:$E$30)-1)*(Guide!$B$8-Guide!$B$7)+MOD(F23,1)-MOD(E23,1))*1440,2)</x:f>
        <x:v>450</x:v>
      </x:c>
      <x:c r="R23" s="14" t="n">
        <x:f>IF(INT(C23)=INT(F23),1,0)</x:f>
        <x:v>0</x:v>
      </x:c>
      <x:c r="S23" s="34" t="n">
        <x:f>WORKDAY(INT(C23),Guide!$B$5,Guide!$E$5:$E$30)+Guide!$B$8</x:f>
        <x:v>45713.708333333336</x:v>
      </x:c>
      <x:c r="T23" s="14" t="n">
        <x:f>IF(F23&lt;=S23,1,0)</x:f>
        <x:v>1</x:v>
      </x:c>
      <x:c r="U23" s="14" t="n">
        <x:f>IF(I23="","",IF(I23&lt;=Guide!$B$11,1,0))</x:f>
        <x:v>0</x:v>
      </x:c>
      <x:c r="V23" s="14" t="n">
        <x:f>IF(OR(N23=0,H23=1,U23=1),1,0)</x:f>
        <x:v>0</x:v>
      </x:c>
    </x:row>
    <x:row r="24" ht="25" customHeight="1">
      <x:c r="A24" s="31" t="str">
        <x:v>CASE-02-009</x:v>
      </x:c>
      <x:c r="B24" s="31" t="str">
        <x:v>EMP-01</x:v>
      </x:c>
      <x:c r="C24" s="32" t="n">
        <x:v>45708.555555555555</x:v>
      </x:c>
      <x:c r="D24" s="32" t="n">
        <x:v>45708.569444444445</x:v>
      </x:c>
      <x:c r="E24" s="32" t="n">
        <x:v>45708.600694444445</x:v>
      </x:c>
      <x:c r="F24" s="32" t="n">
        <x:v>45708.70138888889</x:v>
      </x:c>
      <x:c r="G24" s="33" t="n">
        <x:v>200000</x:v>
      </x:c>
      <x:c r="H24" s="31" t="n">
        <x:v>0</x:v>
      </x:c>
      <x:c r="I24" s="31" t="n">
        <x:v>4</x:v>
      </x:c>
      <x:c r="J24" s="31" t="str">
        <x:v>Positive</x:v>
      </x:c>
      <x:c r="K24" s="31" t="str">
        <x:v>None</x:v>
      </x:c>
      <x:c r="L24" s="31" t="str">
        <x:v>Customer reports a clear and helpful resolution.</x:v>
      </x:c>
      <x:c r="M24" s="15" t="n">
        <x:f>ROUND(((NETWORKDAYS(INT(C24),INT(D24),Guide!$E$5:$E$30)-1)*(Guide!$B$8-Guide!$B$7)+MOD(D24,1)-MOD(C24,1))*1440,2)</x:f>
        <x:v>20</x:v>
      </x:c>
      <x:c r="N24" s="14" t="n">
        <x:f>IF(M24&lt;=Guide!$B$6,1,0)</x:f>
        <x:v>1</x:v>
      </x:c>
      <x:c r="O24" s="14" t="n">
        <x:f>NETWORKDAYS(INT(C24),INT(E24),Guide!$E$5:$E$30)-1</x:f>
        <x:v>0</x:v>
      </x:c>
      <x:c r="P24" s="15" t="n">
        <x:f>(F24-C24)*24</x:f>
        <x:v>3.5000000000582077</x:v>
      </x:c>
      <x:c r="Q24" s="15" t="n">
        <x:f>ROUND(((NETWORKDAYS(INT(E24),INT(F24),Guide!$E$5:$E$30)-1)*(Guide!$B$8-Guide!$B$7)+MOD(F24,1)-MOD(E24,1))*1440,2)</x:f>
        <x:v>145</x:v>
      </x:c>
      <x:c r="R24" s="14" t="n">
        <x:f>IF(INT(C24)=INT(F24),1,0)</x:f>
        <x:v>1</x:v>
      </x:c>
      <x:c r="S24" s="34" t="n">
        <x:f>WORKDAY(INT(C24),Guide!$B$5,Guide!$E$5:$E$30)+Guide!$B$8</x:f>
        <x:v>45715.708333333336</x:v>
      </x:c>
      <x:c r="T24" s="14" t="n">
        <x:f>IF(F24&lt;=S24,1,0)</x:f>
        <x:v>1</x:v>
      </x:c>
      <x:c r="U24" s="14" t="n">
        <x:f>IF(I24="","",IF(I24&lt;=Guide!$B$11,1,0))</x:f>
        <x:v>0</x:v>
      </x:c>
      <x:c r="V24" s="14" t="n">
        <x:f>IF(OR(N24=0,H24=1,U24=1),1,0)</x:f>
        <x:v>0</x:v>
      </x:c>
    </x:row>
    <x:row r="25" ht="25" customHeight="1">
      <x:c r="A25" s="31" t="str">
        <x:v>CASE-02-010</x:v>
      </x:c>
      <x:c r="B25" s="31" t="str">
        <x:v>EMP-01</x:v>
      </x:c>
      <x:c r="C25" s="32" t="n">
        <x:v>45713.333333333336</x:v>
      </x:c>
      <x:c r="D25" s="32" t="n">
        <x:v>45713.336805555555</x:v>
      </x:c>
      <x:c r="E25" s="32" t="n">
        <x:v>45713.37847222222</x:v>
      </x:c>
      <x:c r="F25" s="32" t="n">
        <x:v>45713.70138888889</x:v>
      </x:c>
      <x:c r="G25" s="33" t="n">
        <x:v>100000</x:v>
      </x:c>
      <x:c r="H25" s="31" t="n">
        <x:v>0</x:v>
      </x:c>
      <x:c r="I25" s="31"/>
      <x:c r="J25" s="31" t="str">
        <x:v>No feedback</x:v>
      </x:c>
      <x:c r="K25" s="31" t="str">
        <x:v>Not assessed</x:v>
      </x:c>
      <x:c r="L25" s="31" t="str">
        <x:v>No survey response.</x:v>
      </x:c>
      <x:c r="M25" s="15" t="n">
        <x:f>ROUND(((NETWORKDAYS(INT(C25),INT(D25),Guide!$E$5:$E$30)-1)*(Guide!$B$8-Guide!$B$7)+MOD(D25,1)-MOD(C25,1))*1440,2)</x:f>
        <x:v>5</x:v>
      </x:c>
      <x:c r="N25" s="14" t="n">
        <x:f>IF(M25&lt;=Guide!$B$6,1,0)</x:f>
        <x:v>1</x:v>
      </x:c>
      <x:c r="O25" s="14" t="n">
        <x:f>NETWORKDAYS(INT(C25),INT(E25),Guide!$E$5:$E$30)-1</x:f>
        <x:v>0</x:v>
      </x:c>
      <x:c r="P25" s="15" t="n">
        <x:f>(F25-C25)*24</x:f>
        <x:v>8.83333333331393</x:v>
      </x:c>
      <x:c r="Q25" s="15" t="n">
        <x:f>ROUND(((NETWORKDAYS(INT(E25),INT(F25),Guide!$E$5:$E$30)-1)*(Guide!$B$8-Guide!$B$7)+MOD(F25,1)-MOD(E25,1))*1440,2)</x:f>
        <x:v>465</x:v>
      </x:c>
      <x:c r="R25" s="14" t="n">
        <x:f>IF(INT(C25)=INT(F25),1,0)</x:f>
        <x:v>1</x:v>
      </x:c>
      <x:c r="S25" s="34" t="n">
        <x:f>WORKDAY(INT(C25),Guide!$B$5,Guide!$E$5:$E$30)+Guide!$B$8</x:f>
        <x:v>45720.708333333336</x:v>
      </x:c>
      <x:c r="T25" s="14" t="n">
        <x:f>IF(F25&lt;=S25,1,0)</x:f>
        <x:v>1</x:v>
      </x:c>
      <x:c r="U25" s="14" t="str">
        <x:f>IF(I25="","",IF(I25&lt;=Guide!$B$11,1,0))</x:f>
      </x:c>
      <x:c r="V25" s="14" t="n">
        <x:f>IF(OR(N25=0,H25=1,U25=1),1,0)</x:f>
        <x:v>0</x:v>
      </x:c>
    </x:row>
    <x:row r="26" ht="25" customHeight="1">
      <x:c r="A26" s="31" t="str">
        <x:v>CASE-03-001</x:v>
      </x:c>
      <x:c r="B26" s="31" t="str">
        <x:v>EMP-01</x:v>
      </x:c>
      <x:c r="C26" s="32" t="n">
        <x:v>45719.333333333336</x:v>
      </x:c>
      <x:c r="D26" s="32" t="n">
        <x:v>45719.336805555555</x:v>
      </x:c>
      <x:c r="E26" s="32" t="n">
        <x:v>45719.350694444445</x:v>
      </x:c>
      <x:c r="F26" s="32" t="n">
        <x:v>45719.70138888889</x:v>
      </x:c>
      <x:c r="G26" s="33" t="n">
        <x:v>200000</x:v>
      </x:c>
      <x:c r="H26" s="31" t="n">
        <x:v>0</x:v>
      </x:c>
      <x:c r="I26" s="31" t="n">
        <x:v>5</x:v>
      </x:c>
      <x:c r="J26" s="31" t="str">
        <x:v>Positive</x:v>
      </x:c>
      <x:c r="K26" s="31" t="str">
        <x:v>None</x:v>
      </x:c>
      <x:c r="L26" s="31" t="str">
        <x:v>Customer reports a clear and helpful resolution.</x:v>
      </x:c>
      <x:c r="M26" s="15" t="n">
        <x:f>ROUND(((NETWORKDAYS(INT(C26),INT(D26),Guide!$E$5:$E$30)-1)*(Guide!$B$8-Guide!$B$7)+MOD(D26,1)-MOD(C26,1))*1440,2)</x:f>
        <x:v>5</x:v>
      </x:c>
      <x:c r="N26" s="14" t="n">
        <x:f>IF(M26&lt;=Guide!$B$6,1,0)</x:f>
        <x:v>1</x:v>
      </x:c>
      <x:c r="O26" s="14" t="n">
        <x:f>NETWORKDAYS(INT(C26),INT(E26),Guide!$E$5:$E$30)-1</x:f>
        <x:v>0</x:v>
      </x:c>
      <x:c r="P26" s="15" t="n">
        <x:f>(F26-C26)*24</x:f>
        <x:v>8.83333333331393</x:v>
      </x:c>
      <x:c r="Q26" s="15" t="n">
        <x:f>ROUND(((NETWORKDAYS(INT(E26),INT(F26),Guide!$E$5:$E$30)-1)*(Guide!$B$8-Guide!$B$7)+MOD(F26,1)-MOD(E26,1))*1440,2)</x:f>
        <x:v>505</x:v>
      </x:c>
      <x:c r="R26" s="14" t="n">
        <x:f>IF(INT(C26)=INT(F26),1,0)</x:f>
        <x:v>1</x:v>
      </x:c>
      <x:c r="S26" s="34" t="n">
        <x:f>WORKDAY(INT(C26),Guide!$B$5,Guide!$E$5:$E$30)+Guide!$B$8</x:f>
        <x:v>45726.708333333336</x:v>
      </x:c>
      <x:c r="T26" s="14" t="n">
        <x:f>IF(F26&lt;=S26,1,0)</x:f>
        <x:v>1</x:v>
      </x:c>
      <x:c r="U26" s="14" t="n">
        <x:f>IF(I26="","",IF(I26&lt;=Guide!$B$11,1,0))</x:f>
        <x:v>0</x:v>
      </x:c>
      <x:c r="V26" s="14" t="n">
        <x:f>IF(OR(N26=0,H26=1,U26=1),1,0)</x:f>
        <x:v>0</x:v>
      </x:c>
    </x:row>
    <x:row r="27" ht="25" customHeight="1">
      <x:c r="A27" s="31" t="str">
        <x:v>CASE-03-002</x:v>
      </x:c>
      <x:c r="B27" s="31" t="str">
        <x:v>EMP-01</x:v>
      </x:c>
      <x:c r="C27" s="32" t="n">
        <x:v>45721.697916666664</x:v>
      </x:c>
      <x:c r="D27" s="32" t="n">
        <x:v>45721.70486111111</x:v>
      </x:c>
      <x:c r="E27" s="32" t="n">
        <x:v>45722.38888888889</x:v>
      </x:c>
      <x:c r="F27" s="32" t="n">
        <x:v>45722.70138888889</x:v>
      </x:c>
      <x:c r="G27" s="33" t="n">
        <x:v>500000</x:v>
      </x:c>
      <x:c r="H27" s="31" t="n">
        <x:v>0</x:v>
      </x:c>
      <x:c r="I27" s="31" t="n">
        <x:v>2</x:v>
      </x:c>
      <x:c r="J27" s="31" t="str">
        <x:v>ATM issue</x:v>
      </x:c>
      <x:c r="K27" s="31" t="str">
        <x:v>System</x:v>
      </x:c>
      <x:c r="L27" s="31" t="str">
        <x:v>Customer is unhappy about the ATM transaction failure.</x:v>
      </x:c>
      <x:c r="M27" s="15" t="n">
        <x:f>ROUND(((NETWORKDAYS(INT(C27),INT(D27),Guide!$E$5:$E$30)-1)*(Guide!$B$8-Guide!$B$7)+MOD(D27,1)-MOD(C27,1))*1440,2)</x:f>
        <x:v>10</x:v>
      </x:c>
      <x:c r="N27" s="14" t="n">
        <x:f>IF(M27&lt;=Guide!$B$6,1,0)</x:f>
        <x:v>1</x:v>
      </x:c>
      <x:c r="O27" s="14" t="n">
        <x:f>NETWORKDAYS(INT(C27),INT(E27),Guide!$E$5:$E$30)-1</x:f>
        <x:v>1</x:v>
      </x:c>
      <x:c r="P27" s="15" t="n">
        <x:f>(F27-C27)*24</x:f>
        <x:v>24.083333333430346</x:v>
      </x:c>
      <x:c r="Q27" s="15" t="n">
        <x:f>ROUND(((NETWORKDAYS(INT(E27),INT(F27),Guide!$E$5:$E$30)-1)*(Guide!$B$8-Guide!$B$7)+MOD(F27,1)-MOD(E27,1))*1440,2)</x:f>
        <x:v>450</x:v>
      </x:c>
      <x:c r="R27" s="14" t="n">
        <x:f>IF(INT(C27)=INT(F27),1,0)</x:f>
        <x:v>0</x:v>
      </x:c>
      <x:c r="S27" s="34" t="n">
        <x:f>WORKDAY(INT(C27),Guide!$B$5,Guide!$E$5:$E$30)+Guide!$B$8</x:f>
        <x:v>45728.708333333336</x:v>
      </x:c>
      <x:c r="T27" s="14" t="n">
        <x:f>IF(F27&lt;=S27,1,0)</x:f>
        <x:v>1</x:v>
      </x:c>
      <x:c r="U27" s="14" t="n">
        <x:f>IF(I27="","",IF(I27&lt;=Guide!$B$11,1,0))</x:f>
        <x:v>1</x:v>
      </x:c>
      <x:c r="V27" s="14" t="n">
        <x:f>IF(OR(N27=0,H27=1,U27=1),1,0)</x:f>
        <x:v>1</x:v>
      </x:c>
    </x:row>
    <x:row r="28" ht="25" customHeight="1">
      <x:c r="A28" s="31" t="str">
        <x:v>CASE-03-003</x:v>
      </x:c>
      <x:c r="B28" s="31" t="str">
        <x:v>EMP-01</x:v>
      </x:c>
      <x:c r="C28" s="32" t="n">
        <x:v>45723.381944444445</x:v>
      </x:c>
      <x:c r="D28" s="32" t="n">
        <x:v>45723.40277777778</x:v>
      </x:c>
      <x:c r="E28" s="32" t="n">
        <x:v>45723.444444444445</x:v>
      </x:c>
      <x:c r="F28" s="32" t="n">
        <x:v>45723.70138888889</x:v>
      </x:c>
      <x:c r="G28" s="33" t="n">
        <x:v>200000</x:v>
      </x:c>
      <x:c r="H28" s="31" t="n">
        <x:v>0</x:v>
      </x:c>
      <x:c r="I28" s="31" t="n">
        <x:v>4</x:v>
      </x:c>
      <x:c r="J28" s="31" t="str">
        <x:v>Positive</x:v>
      </x:c>
      <x:c r="K28" s="31" t="str">
        <x:v>None</x:v>
      </x:c>
      <x:c r="L28" s="31" t="str">
        <x:v>Customer reports a clear and helpful resolution.</x:v>
      </x:c>
      <x:c r="M28" s="15" t="n">
        <x:f>ROUND(((NETWORKDAYS(INT(C28),INT(D28),Guide!$E$5:$E$30)-1)*(Guide!$B$8-Guide!$B$7)+MOD(D28,1)-MOD(C28,1))*1440,2)</x:f>
        <x:v>30</x:v>
      </x:c>
      <x:c r="N28" s="14" t="n">
        <x:f>IF(M28&lt;=Guide!$B$6,1,0)</x:f>
        <x:v>1</x:v>
      </x:c>
      <x:c r="O28" s="14" t="n">
        <x:f>NETWORKDAYS(INT(C28),INT(E28),Guide!$E$5:$E$30)-1</x:f>
        <x:v>0</x:v>
      </x:c>
      <x:c r="P28" s="15" t="n">
        <x:f>(F28-C28)*24</x:f>
        <x:v>7.666666666686069</x:v>
      </x:c>
      <x:c r="Q28" s="15" t="n">
        <x:f>ROUND(((NETWORKDAYS(INT(E28),INT(F28),Guide!$E$5:$E$30)-1)*(Guide!$B$8-Guide!$B$7)+MOD(F28,1)-MOD(E28,1))*1440,2)</x:f>
        <x:v>370</x:v>
      </x:c>
      <x:c r="R28" s="14" t="n">
        <x:f>IF(INT(C28)=INT(F28),1,0)</x:f>
        <x:v>1</x:v>
      </x:c>
      <x:c r="S28" s="34" t="n">
        <x:f>WORKDAY(INT(C28),Guide!$B$5,Guide!$E$5:$E$30)+Guide!$B$8</x:f>
        <x:v>45730.708333333336</x:v>
      </x:c>
      <x:c r="T28" s="14" t="n">
        <x:f>IF(F28&lt;=S28,1,0)</x:f>
        <x:v>1</x:v>
      </x:c>
      <x:c r="U28" s="14" t="n">
        <x:f>IF(I28="","",IF(I28&lt;=Guide!$B$11,1,0))</x:f>
        <x:v>0</x:v>
      </x:c>
      <x:c r="V28" s="14" t="n">
        <x:f>IF(OR(N28=0,H28=1,U28=1),1,0)</x:f>
        <x:v>0</x:v>
      </x:c>
    </x:row>
    <x:row r="29" ht="25" customHeight="1">
      <x:c r="A29" s="31" t="str">
        <x:v>CASE-03-004</x:v>
      </x:c>
      <x:c r="B29" s="31" t="str">
        <x:v>EMP-01</x:v>
      </x:c>
      <x:c r="C29" s="32" t="n">
        <x:v>45727.59722222222</x:v>
      </x:c>
      <x:c r="D29" s="32" t="n">
        <x:v>45727.618055555555</x:v>
      </x:c>
      <x:c r="E29" s="32" t="n">
        <x:v>45727.63888888889</x:v>
      </x:c>
      <x:c r="F29" s="32" t="n">
        <x:v>45727.70138888889</x:v>
      </x:c>
      <x:c r="G29" s="33" t="n">
        <x:v>100000</x:v>
      </x:c>
      <x:c r="H29" s="31" t="n">
        <x:v>0</x:v>
      </x:c>
      <x:c r="I29" s="31" t="n">
        <x:v>5</x:v>
      </x:c>
      <x:c r="J29" s="31" t="str">
        <x:v>Positive</x:v>
      </x:c>
      <x:c r="K29" s="31" t="str">
        <x:v>None</x:v>
      </x:c>
      <x:c r="L29" s="31" t="str">
        <x:v>Customer reports a clear and helpful resolution.</x:v>
      </x:c>
      <x:c r="M29" s="15" t="n">
        <x:f>ROUND(((NETWORKDAYS(INT(C29),INT(D29),Guide!$E$5:$E$30)-1)*(Guide!$B$8-Guide!$B$7)+MOD(D29,1)-MOD(C29,1))*1440,2)</x:f>
        <x:v>30</x:v>
      </x:c>
      <x:c r="N29" s="14" t="n">
        <x:f>IF(M29&lt;=Guide!$B$6,1,0)</x:f>
        <x:v>1</x:v>
      </x:c>
      <x:c r="O29" s="14" t="n">
        <x:f>NETWORKDAYS(INT(C29),INT(E29),Guide!$E$5:$E$30)-1</x:f>
        <x:v>0</x:v>
      </x:c>
      <x:c r="P29" s="15" t="n">
        <x:f>(F29-C29)*24</x:f>
        <x:v>2.5000000001164153</x:v>
      </x:c>
      <x:c r="Q29" s="15" t="n">
        <x:f>ROUND(((NETWORKDAYS(INT(E29),INT(F29),Guide!$E$5:$E$30)-1)*(Guide!$B$8-Guide!$B$7)+MOD(F29,1)-MOD(E29,1))*1440,2)</x:f>
        <x:v>90</x:v>
      </x:c>
      <x:c r="R29" s="14" t="n">
        <x:f>IF(INT(C29)=INT(F29),1,0)</x:f>
        <x:v>1</x:v>
      </x:c>
      <x:c r="S29" s="34" t="n">
        <x:f>WORKDAY(INT(C29),Guide!$B$5,Guide!$E$5:$E$30)+Guide!$B$8</x:f>
        <x:v>45734.708333333336</x:v>
      </x:c>
      <x:c r="T29" s="14" t="n">
        <x:f>IF(F29&lt;=S29,1,0)</x:f>
        <x:v>1</x:v>
      </x:c>
      <x:c r="U29" s="14" t="n">
        <x:f>IF(I29="","",IF(I29&lt;=Guide!$B$11,1,0))</x:f>
        <x:v>0</x:v>
      </x:c>
      <x:c r="V29" s="14" t="n">
        <x:f>IF(OR(N29=0,H29=1,U29=1),1,0)</x:f>
        <x:v>0</x:v>
      </x:c>
    </x:row>
    <x:row r="30" ht="25" customHeight="1">
      <x:c r="A30" s="31" t="str">
        <x:v>CASE-03-005</x:v>
      </x:c>
      <x:c r="B30" s="31" t="str">
        <x:v>EMP-01</x:v>
      </x:c>
      <x:c r="C30" s="32" t="n">
        <x:v>45730.46527777778</x:v>
      </x:c>
      <x:c r="D30" s="32" t="n">
        <x:v>45730.46875</x:v>
      </x:c>
      <x:c r="E30" s="32" t="n">
        <x:v>45730.489583333336</x:v>
      </x:c>
      <x:c r="F30" s="32" t="n">
        <x:v>45730.70138888889</x:v>
      </x:c>
      <x:c r="G30" s="33" t="n">
        <x:v>200000</x:v>
      </x:c>
      <x:c r="H30" s="31" t="n">
        <x:v>0</x:v>
      </x:c>
      <x:c r="I30" s="31"/>
      <x:c r="J30" s="31" t="str">
        <x:v>No feedback</x:v>
      </x:c>
      <x:c r="K30" s="31" t="str">
        <x:v>Not assessed</x:v>
      </x:c>
      <x:c r="L30" s="31" t="str">
        <x:v>No survey response.</x:v>
      </x:c>
      <x:c r="M30" s="15" t="n">
        <x:f>ROUND(((NETWORKDAYS(INT(C30),INT(D30),Guide!$E$5:$E$30)-1)*(Guide!$B$8-Guide!$B$7)+MOD(D30,1)-MOD(C30,1))*1440,2)</x:f>
        <x:v>5</x:v>
      </x:c>
      <x:c r="N30" s="14" t="n">
        <x:f>IF(M30&lt;=Guide!$B$6,1,0)</x:f>
        <x:v>1</x:v>
      </x:c>
      <x:c r="O30" s="14" t="n">
        <x:f>NETWORKDAYS(INT(C30),INT(E30),Guide!$E$5:$E$30)-1</x:f>
        <x:v>0</x:v>
      </x:c>
      <x:c r="P30" s="15" t="n">
        <x:f>(F30-C30)*24</x:f>
        <x:v>5.666666666627862</x:v>
      </x:c>
      <x:c r="Q30" s="15" t="n">
        <x:f>ROUND(((NETWORKDAYS(INT(E30),INT(F30),Guide!$E$5:$E$30)-1)*(Guide!$B$8-Guide!$B$7)+MOD(F30,1)-MOD(E30,1))*1440,2)</x:f>
        <x:v>305</x:v>
      </x:c>
      <x:c r="R30" s="14" t="n">
        <x:f>IF(INT(C30)=INT(F30),1,0)</x:f>
        <x:v>1</x:v>
      </x:c>
      <x:c r="S30" s="34" t="n">
        <x:f>WORKDAY(INT(C30),Guide!$B$5,Guide!$E$5:$E$30)+Guide!$B$8</x:f>
        <x:v>45737.708333333336</x:v>
      </x:c>
      <x:c r="T30" s="14" t="n">
        <x:f>IF(F30&lt;=S30,1,0)</x:f>
        <x:v>1</x:v>
      </x:c>
      <x:c r="U30" s="14" t="str">
        <x:f>IF(I30="","",IF(I30&lt;=Guide!$B$11,1,0))</x:f>
      </x:c>
      <x:c r="V30" s="14" t="n">
        <x:f>IF(OR(N30=0,H30=1,U30=1),1,0)</x:f>
        <x:v>0</x:v>
      </x:c>
    </x:row>
    <x:row r="31" ht="25" customHeight="1">
      <x:c r="A31" s="31" t="str">
        <x:v>CASE-03-006</x:v>
      </x:c>
      <x:c r="B31" s="31" t="str">
        <x:v>EMP-01</x:v>
      </x:c>
      <x:c r="C31" s="32" t="n">
        <x:v>45733.395833333336</x:v>
      </x:c>
      <x:c r="D31" s="32" t="n">
        <x:v>45733.427083333336</x:v>
      </x:c>
      <x:c r="E31" s="32" t="n">
        <x:v>45733.46875</x:v>
      </x:c>
      <x:c r="F31" s="32" t="n">
        <x:v>45733.70138888889</x:v>
      </x:c>
      <x:c r="G31" s="33" t="n">
        <x:v>500000</x:v>
      </x:c>
      <x:c r="H31" s="31" t="n">
        <x:v>1</x:v>
      </x:c>
      <x:c r="I31" s="31" t="n">
        <x:v>5</x:v>
      </x:c>
      <x:c r="J31" s="31" t="str">
        <x:v>Positive</x:v>
      </x:c>
      <x:c r="K31" s="31" t="str">
        <x:v>None</x:v>
      </x:c>
      <x:c r="L31" s="31" t="str">
        <x:v>Customer reports a clear and helpful resolution.</x:v>
      </x:c>
      <x:c r="M31" s="15" t="n">
        <x:f>ROUND(((NETWORKDAYS(INT(C31),INT(D31),Guide!$E$5:$E$30)-1)*(Guide!$B$8-Guide!$B$7)+MOD(D31,1)-MOD(C31,1))*1440,2)</x:f>
        <x:v>45</x:v>
      </x:c>
      <x:c r="N31" s="14" t="n">
        <x:f>IF(M31&lt;=Guide!$B$6,1,0)</x:f>
        <x:v>0</x:v>
      </x:c>
      <x:c r="O31" s="14" t="n">
        <x:f>NETWORKDAYS(INT(C31),INT(E31),Guide!$E$5:$E$30)-1</x:f>
        <x:v>0</x:v>
      </x:c>
      <x:c r="P31" s="15" t="n">
        <x:f>(F31-C31)*24</x:f>
        <x:v>7.333333333313931</x:v>
      </x:c>
      <x:c r="Q31" s="15" t="n">
        <x:f>ROUND(((NETWORKDAYS(INT(E31),INT(F31),Guide!$E$5:$E$30)-1)*(Guide!$B$8-Guide!$B$7)+MOD(F31,1)-MOD(E31,1))*1440,2)</x:f>
        <x:v>335</x:v>
      </x:c>
      <x:c r="R31" s="14" t="n">
        <x:f>IF(INT(C31)=INT(F31),1,0)</x:f>
        <x:v>1</x:v>
      </x:c>
      <x:c r="S31" s="34" t="n">
        <x:f>WORKDAY(INT(C31),Guide!$B$5,Guide!$E$5:$E$30)+Guide!$B$8</x:f>
        <x:v>45740.708333333336</x:v>
      </x:c>
      <x:c r="T31" s="14" t="n">
        <x:f>IF(F31&lt;=S31,1,0)</x:f>
        <x:v>1</x:v>
      </x:c>
      <x:c r="U31" s="14" t="n">
        <x:f>IF(I31="","",IF(I31&lt;=Guide!$B$11,1,0))</x:f>
        <x:v>0</x:v>
      </x:c>
      <x:c r="V31" s="14" t="n">
        <x:f>IF(OR(N31=0,H31=1,U31=1),1,0)</x:f>
        <x:v>1</x:v>
      </x:c>
    </x:row>
    <x:row r="32" ht="25" customHeight="1">
      <x:c r="A32" s="31" t="str">
        <x:v>CASE-03-007</x:v>
      </x:c>
      <x:c r="B32" s="31" t="str">
        <x:v>EMP-01</x:v>
      </x:c>
      <x:c r="C32" s="32" t="n">
        <x:v>45734.34722222222</x:v>
      </x:c>
      <x:c r="D32" s="32" t="n">
        <x:v>45734.364583333336</x:v>
      </x:c>
      <x:c r="E32" s="32" t="n">
        <x:v>45734.40625</x:v>
      </x:c>
      <x:c r="F32" s="32" t="n">
        <x:v>45734.70138888889</x:v>
      </x:c>
      <x:c r="G32" s="33" t="n">
        <x:v>3000000</x:v>
      </x:c>
      <x:c r="H32" s="31" t="n">
        <x:v>0</x:v>
      </x:c>
      <x:c r="I32" s="31" t="n">
        <x:v>5</x:v>
      </x:c>
      <x:c r="J32" s="31" t="str">
        <x:v>Positive</x:v>
      </x:c>
      <x:c r="K32" s="31" t="str">
        <x:v>None</x:v>
      </x:c>
      <x:c r="L32" s="31" t="str">
        <x:v>Customer reports a clear and helpful resolution.</x:v>
      </x:c>
      <x:c r="M32" s="15" t="n">
        <x:f>ROUND(((NETWORKDAYS(INT(C32),INT(D32),Guide!$E$5:$E$30)-1)*(Guide!$B$8-Guide!$B$7)+MOD(D32,1)-MOD(C32,1))*1440,2)</x:f>
        <x:v>25</x:v>
      </x:c>
      <x:c r="N32" s="14" t="n">
        <x:f>IF(M32&lt;=Guide!$B$6,1,0)</x:f>
        <x:v>1</x:v>
      </x:c>
      <x:c r="O32" s="14" t="n">
        <x:f>NETWORKDAYS(INT(C32),INT(E32),Guide!$E$5:$E$30)-1</x:f>
        <x:v>0</x:v>
      </x:c>
      <x:c r="P32" s="15" t="n">
        <x:f>(F32-C32)*24</x:f>
        <x:v>8.500000000116415</x:v>
      </x:c>
      <x:c r="Q32" s="15" t="n">
        <x:f>ROUND(((NETWORKDAYS(INT(E32),INT(F32),Guide!$E$5:$E$30)-1)*(Guide!$B$8-Guide!$B$7)+MOD(F32,1)-MOD(E32,1))*1440,2)</x:f>
        <x:v>425</x:v>
      </x:c>
      <x:c r="R32" s="14" t="n">
        <x:f>IF(INT(C32)=INT(F32),1,0)</x:f>
        <x:v>1</x:v>
      </x:c>
      <x:c r="S32" s="34" t="n">
        <x:f>WORKDAY(INT(C32),Guide!$B$5,Guide!$E$5:$E$30)+Guide!$B$8</x:f>
        <x:v>45741.708333333336</x:v>
      </x:c>
      <x:c r="T32" s="14" t="n">
        <x:f>IF(F32&lt;=S32,1,0)</x:f>
        <x:v>1</x:v>
      </x:c>
      <x:c r="U32" s="14" t="n">
        <x:f>IF(I32="","",IF(I32&lt;=Guide!$B$11,1,0))</x:f>
        <x:v>0</x:v>
      </x:c>
      <x:c r="V32" s="14" t="n">
        <x:f>IF(OR(N32=0,H32=1,U32=1),1,0)</x:f>
        <x:v>0</x:v>
      </x:c>
    </x:row>
    <x:row r="33" ht="25" customHeight="1">
      <x:c r="A33" s="31" t="str">
        <x:v>CASE-03-008</x:v>
      </x:c>
      <x:c r="B33" s="31" t="str">
        <x:v>EMP-01</x:v>
      </x:c>
      <x:c r="C33" s="32" t="n">
        <x:v>45735.69097222222</x:v>
      </x:c>
      <x:c r="D33" s="32" t="n">
        <x:v>45735.70486111111</x:v>
      </x:c>
      <x:c r="E33" s="32" t="n">
        <x:v>45736.395833333336</x:v>
      </x:c>
      <x:c r="F33" s="32" t="n">
        <x:v>45736.70138888889</x:v>
      </x:c>
      <x:c r="G33" s="33" t="n">
        <x:v>2000000</x:v>
      </x:c>
      <x:c r="H33" s="31" t="n">
        <x:v>0</x:v>
      </x:c>
      <x:c r="I33" s="31" t="n">
        <x:v>4</x:v>
      </x:c>
      <x:c r="J33" s="31" t="str">
        <x:v>Positive</x:v>
      </x:c>
      <x:c r="K33" s="31" t="str">
        <x:v>None</x:v>
      </x:c>
      <x:c r="L33" s="31" t="str">
        <x:v>Customer reports a clear and helpful resolution.</x:v>
      </x:c>
      <x:c r="M33" s="15" t="n">
        <x:f>ROUND(((NETWORKDAYS(INT(C33),INT(D33),Guide!$E$5:$E$30)-1)*(Guide!$B$8-Guide!$B$7)+MOD(D33,1)-MOD(C33,1))*1440,2)</x:f>
        <x:v>20</x:v>
      </x:c>
      <x:c r="N33" s="14" t="n">
        <x:f>IF(M33&lt;=Guide!$B$6,1,0)</x:f>
        <x:v>1</x:v>
      </x:c>
      <x:c r="O33" s="14" t="n">
        <x:f>NETWORKDAYS(INT(C33),INT(E33),Guide!$E$5:$E$30)-1</x:f>
        <x:v>1</x:v>
      </x:c>
      <x:c r="P33" s="15" t="n">
        <x:f>(F33-C33)*24</x:f>
        <x:v>24.250000000116415</x:v>
      </x:c>
      <x:c r="Q33" s="15" t="n">
        <x:f>ROUND(((NETWORKDAYS(INT(E33),INT(F33),Guide!$E$5:$E$30)-1)*(Guide!$B$8-Guide!$B$7)+MOD(F33,1)-MOD(E33,1))*1440,2)</x:f>
        <x:v>440</x:v>
      </x:c>
      <x:c r="R33" s="14" t="n">
        <x:f>IF(INT(C33)=INT(F33),1,0)</x:f>
        <x:v>0</x:v>
      </x:c>
      <x:c r="S33" s="34" t="n">
        <x:f>WORKDAY(INT(C33),Guide!$B$5,Guide!$E$5:$E$30)+Guide!$B$8</x:f>
        <x:v>45742.708333333336</x:v>
      </x:c>
      <x:c r="T33" s="14" t="n">
        <x:f>IF(F33&lt;=S33,1,0)</x:f>
        <x:v>1</x:v>
      </x:c>
      <x:c r="U33" s="14" t="n">
        <x:f>IF(I33="","",IF(I33&lt;=Guide!$B$11,1,0))</x:f>
        <x:v>0</x:v>
      </x:c>
      <x:c r="V33" s="14" t="n">
        <x:f>IF(OR(N33=0,H33=1,U33=1),1,0)</x:f>
        <x:v>0</x:v>
      </x:c>
    </x:row>
    <x:row r="34" ht="25" customHeight="1">
      <x:c r="A34" s="31" t="str">
        <x:v>CASE-03-009</x:v>
      </x:c>
      <x:c r="B34" s="31" t="str">
        <x:v>EMP-01</x:v>
      </x:c>
      <x:c r="C34" s="32" t="n">
        <x:v>45737.458333333336</x:v>
      </x:c>
      <x:c r="D34" s="32" t="n">
        <x:v>45737.475694444445</x:v>
      </x:c>
      <x:c r="E34" s="32" t="n">
        <x:v>45737.49652777778</x:v>
      </x:c>
      <x:c r="F34" s="32" t="n">
        <x:v>45737.70138888889</x:v>
      </x:c>
      <x:c r="G34" s="33" t="n">
        <x:v>5000000</x:v>
      </x:c>
      <x:c r="H34" s="31" t="n">
        <x:v>0</x:v>
      </x:c>
      <x:c r="I34" s="31" t="n">
        <x:v>4</x:v>
      </x:c>
      <x:c r="J34" s="31" t="str">
        <x:v>Positive</x:v>
      </x:c>
      <x:c r="K34" s="31" t="str">
        <x:v>None</x:v>
      </x:c>
      <x:c r="L34" s="31" t="str">
        <x:v>Customer reports a clear and helpful resolution.</x:v>
      </x:c>
      <x:c r="M34" s="15" t="n">
        <x:f>ROUND(((NETWORKDAYS(INT(C34),INT(D34),Guide!$E$5:$E$30)-1)*(Guide!$B$8-Guide!$B$7)+MOD(D34,1)-MOD(C34,1))*1440,2)</x:f>
        <x:v>25</x:v>
      </x:c>
      <x:c r="N34" s="14" t="n">
        <x:f>IF(M34&lt;=Guide!$B$6,1,0)</x:f>
        <x:v>1</x:v>
      </x:c>
      <x:c r="O34" s="14" t="n">
        <x:f>NETWORKDAYS(INT(C34),INT(E34),Guide!$E$5:$E$30)-1</x:f>
        <x:v>0</x:v>
      </x:c>
      <x:c r="P34" s="15" t="n">
        <x:f>(F34-C34)*24</x:f>
        <x:v>5.833333333313931</x:v>
      </x:c>
      <x:c r="Q34" s="15" t="n">
        <x:f>ROUND(((NETWORKDAYS(INT(E34),INT(F34),Guide!$E$5:$E$30)-1)*(Guide!$B$8-Guide!$B$7)+MOD(F34,1)-MOD(E34,1))*1440,2)</x:f>
        <x:v>295</x:v>
      </x:c>
      <x:c r="R34" s="14" t="n">
        <x:f>IF(INT(C34)=INT(F34),1,0)</x:f>
        <x:v>1</x:v>
      </x:c>
      <x:c r="S34" s="34" t="n">
        <x:f>WORKDAY(INT(C34),Guide!$B$5,Guide!$E$5:$E$30)+Guide!$B$8</x:f>
        <x:v>45744.708333333336</x:v>
      </x:c>
      <x:c r="T34" s="14" t="n">
        <x:f>IF(F34&lt;=S34,1,0)</x:f>
        <x:v>1</x:v>
      </x:c>
      <x:c r="U34" s="14" t="n">
        <x:f>IF(I34="","",IF(I34&lt;=Guide!$B$11,1,0))</x:f>
        <x:v>0</x:v>
      </x:c>
      <x:c r="V34" s="14" t="n">
        <x:f>IF(OR(N34=0,H34=1,U34=1),1,0)</x:f>
        <x:v>0</x:v>
      </x:c>
    </x:row>
    <x:row r="35" ht="25" customHeight="1">
      <x:c r="A35" s="31" t="str">
        <x:v>CASE-03-010</x:v>
      </x:c>
      <x:c r="B35" s="31" t="str">
        <x:v>EMP-01</x:v>
      </x:c>
      <x:c r="C35" s="32" t="n">
        <x:v>45741.47222222222</x:v>
      </x:c>
      <x:c r="D35" s="32" t="n">
        <x:v>45741.489583333336</x:v>
      </x:c>
      <x:c r="E35" s="32" t="n">
        <x:v>45741.50347222222</x:v>
      </x:c>
      <x:c r="F35" s="32" t="n">
        <x:v>45741.70138888889</x:v>
      </x:c>
      <x:c r="G35" s="33" t="n">
        <x:v>100000</x:v>
      </x:c>
      <x:c r="H35" s="31" t="n">
        <x:v>0</x:v>
      </x:c>
      <x:c r="I35" s="31"/>
      <x:c r="J35" s="31" t="str">
        <x:v>No feedback</x:v>
      </x:c>
      <x:c r="K35" s="31" t="str">
        <x:v>Not assessed</x:v>
      </x:c>
      <x:c r="L35" s="31" t="str">
        <x:v>No survey response.</x:v>
      </x:c>
      <x:c r="M35" s="15" t="n">
        <x:f>ROUND(((NETWORKDAYS(INT(C35),INT(D35),Guide!$E$5:$E$30)-1)*(Guide!$B$8-Guide!$B$7)+MOD(D35,1)-MOD(C35,1))*1440,2)</x:f>
        <x:v>25</x:v>
      </x:c>
      <x:c r="N35" s="14" t="n">
        <x:f>IF(M35&lt;=Guide!$B$6,1,0)</x:f>
        <x:v>1</x:v>
      </x:c>
      <x:c r="O35" s="14" t="n">
        <x:f>NETWORKDAYS(INT(C35),INT(E35),Guide!$E$5:$E$30)-1</x:f>
        <x:v>0</x:v>
      </x:c>
      <x:c r="P35" s="15" t="n">
        <x:f>(F35-C35)*24</x:f>
        <x:v>5.500000000116415</x:v>
      </x:c>
      <x:c r="Q35" s="15" t="n">
        <x:f>ROUND(((NETWORKDAYS(INT(E35),INT(F35),Guide!$E$5:$E$30)-1)*(Guide!$B$8-Guide!$B$7)+MOD(F35,1)-MOD(E35,1))*1440,2)</x:f>
        <x:v>285</x:v>
      </x:c>
      <x:c r="R35" s="14" t="n">
        <x:f>IF(INT(C35)=INT(F35),1,0)</x:f>
        <x:v>1</x:v>
      </x:c>
      <x:c r="S35" s="34" t="n">
        <x:f>WORKDAY(INT(C35),Guide!$B$5,Guide!$E$5:$E$30)+Guide!$B$8</x:f>
        <x:v>45748.708333333336</x:v>
      </x:c>
      <x:c r="T35" s="14" t="n">
        <x:f>IF(F35&lt;=S35,1,0)</x:f>
        <x:v>1</x:v>
      </x:c>
      <x:c r="U35" s="14" t="str">
        <x:f>IF(I35="","",IF(I35&lt;=Guide!$B$11,1,0))</x:f>
      </x:c>
      <x:c r="V35" s="14" t="n">
        <x:f>IF(OR(N35=0,H35=1,U35=1),1,0)</x:f>
        <x:v>0</x:v>
      </x:c>
    </x:row>
    <x:row r="36" ht="25" customHeight="1">
      <x:c r="A36" s="31" t="str">
        <x:v>CASE-04-001</x:v>
      </x:c>
      <x:c r="B36" s="31" t="str">
        <x:v>EMP-01</x:v>
      </x:c>
      <x:c r="C36" s="32" t="n">
        <x:v>45749.47222222222</x:v>
      </x:c>
      <x:c r="D36" s="32" t="n">
        <x:v>45749.493055555555</x:v>
      </x:c>
      <x:c r="E36" s="32" t="n">
        <x:v>45749.524305555555</x:v>
      </x:c>
      <x:c r="F36" s="32" t="n">
        <x:v>45749.70138888889</x:v>
      </x:c>
      <x:c r="G36" s="33" t="n">
        <x:v>100000</x:v>
      </x:c>
      <x:c r="H36" s="31" t="n">
        <x:v>0</x:v>
      </x:c>
      <x:c r="I36" s="31" t="n">
        <x:v>4</x:v>
      </x:c>
      <x:c r="J36" s="31" t="str">
        <x:v>Positive</x:v>
      </x:c>
      <x:c r="K36" s="31" t="str">
        <x:v>None</x:v>
      </x:c>
      <x:c r="L36" s="31" t="str">
        <x:v>Customer reports a clear and helpful resolution.</x:v>
      </x:c>
      <x:c r="M36" s="15" t="n">
        <x:f>ROUND(((NETWORKDAYS(INT(C36),INT(D36),Guide!$E$5:$E$30)-1)*(Guide!$B$8-Guide!$B$7)+MOD(D36,1)-MOD(C36,1))*1440,2)</x:f>
        <x:v>30</x:v>
      </x:c>
      <x:c r="N36" s="14" t="n">
        <x:f>IF(M36&lt;=Guide!$B$6,1,0)</x:f>
        <x:v>1</x:v>
      </x:c>
      <x:c r="O36" s="14" t="n">
        <x:f>NETWORKDAYS(INT(C36),INT(E36),Guide!$E$5:$E$30)-1</x:f>
        <x:v>0</x:v>
      </x:c>
      <x:c r="P36" s="15" t="n">
        <x:f>(F36-C36)*24</x:f>
        <x:v>5.500000000116415</x:v>
      </x:c>
      <x:c r="Q36" s="15" t="n">
        <x:f>ROUND(((NETWORKDAYS(INT(E36),INT(F36),Guide!$E$5:$E$30)-1)*(Guide!$B$8-Guide!$B$7)+MOD(F36,1)-MOD(E36,1))*1440,2)</x:f>
        <x:v>255</x:v>
      </x:c>
      <x:c r="R36" s="14" t="n">
        <x:f>IF(INT(C36)=INT(F36),1,0)</x:f>
        <x:v>1</x:v>
      </x:c>
      <x:c r="S36" s="34" t="n">
        <x:f>WORKDAY(INT(C36),Guide!$B$5,Guide!$E$5:$E$30)+Guide!$B$8</x:f>
        <x:v>45757.708333333336</x:v>
      </x:c>
      <x:c r="T36" s="14" t="n">
        <x:f>IF(F36&lt;=S36,1,0)</x:f>
        <x:v>1</x:v>
      </x:c>
      <x:c r="U36" s="14" t="n">
        <x:f>IF(I36="","",IF(I36&lt;=Guide!$B$11,1,0))</x:f>
        <x:v>0</x:v>
      </x:c>
      <x:c r="V36" s="14" t="n">
        <x:f>IF(OR(N36=0,H36=1,U36=1),1,0)</x:f>
        <x:v>0</x:v>
      </x:c>
    </x:row>
    <x:row r="37" ht="25" customHeight="1">
      <x:c r="A37" s="31" t="str">
        <x:v>CASE-04-002</x:v>
      </x:c>
      <x:c r="B37" s="31" t="str">
        <x:v>EMP-01</x:v>
      </x:c>
      <x:c r="C37" s="32" t="n">
        <x:v>45750.694444444445</x:v>
      </x:c>
      <x:c r="D37" s="32" t="n">
        <x:v>45751.34027777778</x:v>
      </x:c>
      <x:c r="E37" s="32" t="n">
        <x:v>45751.38888888889</x:v>
      </x:c>
      <x:c r="F37" s="32" t="n">
        <x:v>45751.70138888889</x:v>
      </x:c>
      <x:c r="G37" s="33" t="n">
        <x:v>3000000</x:v>
      </x:c>
      <x:c r="H37" s="31" t="n">
        <x:v>0</x:v>
      </x:c>
      <x:c r="I37" s="31" t="n">
        <x:v>4</x:v>
      </x:c>
      <x:c r="J37" s="31" t="str">
        <x:v>Positive</x:v>
      </x:c>
      <x:c r="K37" s="31" t="str">
        <x:v>None</x:v>
      </x:c>
      <x:c r="L37" s="31" t="str">
        <x:v>Customer reports a clear and helpful resolution.</x:v>
      </x:c>
      <x:c r="M37" s="15" t="n">
        <x:f>ROUND(((NETWORKDAYS(INT(C37),INT(D37),Guide!$E$5:$E$30)-1)*(Guide!$B$8-Guide!$B$7)+MOD(D37,1)-MOD(C37,1))*1440,2)</x:f>
        <x:v>30</x:v>
      </x:c>
      <x:c r="N37" s="14" t="n">
        <x:f>IF(M37&lt;=Guide!$B$6,1,0)</x:f>
        <x:v>1</x:v>
      </x:c>
      <x:c r="O37" s="14" t="n">
        <x:f>NETWORKDAYS(INT(C37),INT(E37),Guide!$E$5:$E$30)-1</x:f>
        <x:v>1</x:v>
      </x:c>
      <x:c r="P37" s="15" t="n">
        <x:f>(F37-C37)*24</x:f>
        <x:v>24.16666666668607</x:v>
      </x:c>
      <x:c r="Q37" s="15" t="n">
        <x:f>ROUND(((NETWORKDAYS(INT(E37),INT(F37),Guide!$E$5:$E$30)-1)*(Guide!$B$8-Guide!$B$7)+MOD(F37,1)-MOD(E37,1))*1440,2)</x:f>
        <x:v>450</x:v>
      </x:c>
      <x:c r="R37" s="14" t="n">
        <x:f>IF(INT(C37)=INT(F37),1,0)</x:f>
        <x:v>0</x:v>
      </x:c>
      <x:c r="S37" s="34" t="n">
        <x:f>WORKDAY(INT(C37),Guide!$B$5,Guide!$E$5:$E$30)+Guide!$B$8</x:f>
        <x:v>45758.708333333336</x:v>
      </x:c>
      <x:c r="T37" s="14" t="n">
        <x:f>IF(F37&lt;=S37,1,0)</x:f>
        <x:v>1</x:v>
      </x:c>
      <x:c r="U37" s="14" t="n">
        <x:f>IF(I37="","",IF(I37&lt;=Guide!$B$11,1,0))</x:f>
        <x:v>0</x:v>
      </x:c>
      <x:c r="V37" s="14" t="n">
        <x:f>IF(OR(N37=0,H37=1,U37=1),1,0)</x:f>
        <x:v>0</x:v>
      </x:c>
    </x:row>
    <x:row r="38" ht="25" customHeight="1">
      <x:c r="A38" s="31" t="str">
        <x:v>CASE-04-003</x:v>
      </x:c>
      <x:c r="B38" s="31" t="str">
        <x:v>EMP-01</x:v>
      </x:c>
      <x:c r="C38" s="32" t="n">
        <x:v>45755.59027777778</x:v>
      </x:c>
      <x:c r="D38" s="32" t="n">
        <x:v>45755.60763888889</x:v>
      </x:c>
      <x:c r="E38" s="32" t="n">
        <x:v>45755.62847222222</x:v>
      </x:c>
      <x:c r="F38" s="32" t="n">
        <x:v>45755.70138888889</x:v>
      </x:c>
      <x:c r="G38" s="33" t="n">
        <x:v>1000000</x:v>
      </x:c>
      <x:c r="H38" s="31" t="n">
        <x:v>0</x:v>
      </x:c>
      <x:c r="I38" s="31" t="n">
        <x:v>5</x:v>
      </x:c>
      <x:c r="J38" s="31" t="str">
        <x:v>Positive</x:v>
      </x:c>
      <x:c r="K38" s="31" t="str">
        <x:v>None</x:v>
      </x:c>
      <x:c r="L38" s="31" t="str">
        <x:v>Customer reports a clear and helpful resolution.</x:v>
      </x:c>
      <x:c r="M38" s="15" t="n">
        <x:f>ROUND(((NETWORKDAYS(INT(C38),INT(D38),Guide!$E$5:$E$30)-1)*(Guide!$B$8-Guide!$B$7)+MOD(D38,1)-MOD(C38,1))*1440,2)</x:f>
        <x:v>25</x:v>
      </x:c>
      <x:c r="N38" s="14" t="n">
        <x:f>IF(M38&lt;=Guide!$B$6,1,0)</x:f>
        <x:v>1</x:v>
      </x:c>
      <x:c r="O38" s="14" t="n">
        <x:f>NETWORKDAYS(INT(C38),INT(E38),Guide!$E$5:$E$30)-1</x:f>
        <x:v>0</x:v>
      </x:c>
      <x:c r="P38" s="15" t="n">
        <x:f>(F38-C38)*24</x:f>
        <x:v>2.6666666666278616</x:v>
      </x:c>
      <x:c r="Q38" s="15" t="n">
        <x:f>ROUND(((NETWORKDAYS(INT(E38),INT(F38),Guide!$E$5:$E$30)-1)*(Guide!$B$8-Guide!$B$7)+MOD(F38,1)-MOD(E38,1))*1440,2)</x:f>
        <x:v>105</x:v>
      </x:c>
      <x:c r="R38" s="14" t="n">
        <x:f>IF(INT(C38)=INT(F38),1,0)</x:f>
        <x:v>1</x:v>
      </x:c>
      <x:c r="S38" s="34" t="n">
        <x:f>WORKDAY(INT(C38),Guide!$B$5,Guide!$E$5:$E$30)+Guide!$B$8</x:f>
        <x:v>45762.708333333336</x:v>
      </x:c>
      <x:c r="T38" s="14" t="n">
        <x:f>IF(F38&lt;=S38,1,0)</x:f>
        <x:v>1</x:v>
      </x:c>
      <x:c r="U38" s="14" t="n">
        <x:f>IF(I38="","",IF(I38&lt;=Guide!$B$11,1,0))</x:f>
        <x:v>0</x:v>
      </x:c>
      <x:c r="V38" s="14" t="n">
        <x:f>IF(OR(N38=0,H38=1,U38=1),1,0)</x:f>
        <x:v>0</x:v>
      </x:c>
    </x:row>
    <x:row r="39" ht="25" customHeight="1">
      <x:c r="A39" s="31" t="str">
        <x:v>CASE-04-004</x:v>
      </x:c>
      <x:c r="B39" s="31" t="str">
        <x:v>EMP-01</x:v>
      </x:c>
      <x:c r="C39" s="32" t="n">
        <x:v>45756.4375</x:v>
      </x:c>
      <x:c r="D39" s="32" t="n">
        <x:v>45756.444444444445</x:v>
      </x:c>
      <x:c r="E39" s="32" t="n">
        <x:v>45756.48611111111</x:v>
      </x:c>
      <x:c r="F39" s="32" t="n">
        <x:v>45756.70138888889</x:v>
      </x:c>
      <x:c r="G39" s="33" t="n">
        <x:v>200000</x:v>
      </x:c>
      <x:c r="H39" s="31" t="n">
        <x:v>0</x:v>
      </x:c>
      <x:c r="I39" s="31" t="n">
        <x:v>5</x:v>
      </x:c>
      <x:c r="J39" s="31" t="str">
        <x:v>Positive</x:v>
      </x:c>
      <x:c r="K39" s="31" t="str">
        <x:v>None</x:v>
      </x:c>
      <x:c r="L39" s="31" t="str">
        <x:v>Customer reports a clear and helpful resolution.</x:v>
      </x:c>
      <x:c r="M39" s="15" t="n">
        <x:f>ROUND(((NETWORKDAYS(INT(C39),INT(D39),Guide!$E$5:$E$30)-1)*(Guide!$B$8-Guide!$B$7)+MOD(D39,1)-MOD(C39,1))*1440,2)</x:f>
        <x:v>10</x:v>
      </x:c>
      <x:c r="N39" s="14" t="n">
        <x:f>IF(M39&lt;=Guide!$B$6,1,0)</x:f>
        <x:v>1</x:v>
      </x:c>
      <x:c r="O39" s="14" t="n">
        <x:f>NETWORKDAYS(INT(C39),INT(E39),Guide!$E$5:$E$30)-1</x:f>
        <x:v>0</x:v>
      </x:c>
      <x:c r="P39" s="15" t="n">
        <x:f>(F39-C39)*24</x:f>
        <x:v>6.333333333372138</x:v>
      </x:c>
      <x:c r="Q39" s="15" t="n">
        <x:f>ROUND(((NETWORKDAYS(INT(E39),INT(F39),Guide!$E$5:$E$30)-1)*(Guide!$B$8-Guide!$B$7)+MOD(F39,1)-MOD(E39,1))*1440,2)</x:f>
        <x:v>310</x:v>
      </x:c>
      <x:c r="R39" s="14" t="n">
        <x:f>IF(INT(C39)=INT(F39),1,0)</x:f>
        <x:v>1</x:v>
      </x:c>
      <x:c r="S39" s="34" t="n">
        <x:f>WORKDAY(INT(C39),Guide!$B$5,Guide!$E$5:$E$30)+Guide!$B$8</x:f>
        <x:v>45763.708333333336</x:v>
      </x:c>
      <x:c r="T39" s="14" t="n">
        <x:f>IF(F39&lt;=S39,1,0)</x:f>
        <x:v>1</x:v>
      </x:c>
      <x:c r="U39" s="14" t="n">
        <x:f>IF(I39="","",IF(I39&lt;=Guide!$B$11,1,0))</x:f>
        <x:v>0</x:v>
      </x:c>
      <x:c r="V39" s="14" t="n">
        <x:f>IF(OR(N39=0,H39=1,U39=1),1,0)</x:f>
        <x:v>0</x:v>
      </x:c>
    </x:row>
    <x:row r="40" ht="25" customHeight="1">
      <x:c r="A40" s="31" t="str">
        <x:v>CASE-04-005</x:v>
      </x:c>
      <x:c r="B40" s="31" t="str">
        <x:v>EMP-01</x:v>
      </x:c>
      <x:c r="C40" s="32" t="n">
        <x:v>45758.541666666664</x:v>
      </x:c>
      <x:c r="D40" s="32" t="n">
        <x:v>45758.5625</x:v>
      </x:c>
      <x:c r="E40" s="32" t="n">
        <x:v>45758.583333333336</x:v>
      </x:c>
      <x:c r="F40" s="32" t="n">
        <x:v>45758.70138888889</x:v>
      </x:c>
      <x:c r="G40" s="33" t="n">
        <x:v>2000000</x:v>
      </x:c>
      <x:c r="H40" s="31" t="n">
        <x:v>0</x:v>
      </x:c>
      <x:c r="I40" s="31"/>
      <x:c r="J40" s="31" t="str">
        <x:v>No feedback</x:v>
      </x:c>
      <x:c r="K40" s="31" t="str">
        <x:v>Not assessed</x:v>
      </x:c>
      <x:c r="L40" s="31" t="str">
        <x:v>No survey response.</x:v>
      </x:c>
      <x:c r="M40" s="15" t="n">
        <x:f>ROUND(((NETWORKDAYS(INT(C40),INT(D40),Guide!$E$5:$E$30)-1)*(Guide!$B$8-Guide!$B$7)+MOD(D40,1)-MOD(C40,1))*1440,2)</x:f>
        <x:v>30</x:v>
      </x:c>
      <x:c r="N40" s="14" t="n">
        <x:f>IF(M40&lt;=Guide!$B$6,1,0)</x:f>
        <x:v>1</x:v>
      </x:c>
      <x:c r="O40" s="14" t="n">
        <x:f>NETWORKDAYS(INT(C40),INT(E40),Guide!$E$5:$E$30)-1</x:f>
        <x:v>0</x:v>
      </x:c>
      <x:c r="P40" s="15" t="n">
        <x:f>(F40-C40)*24</x:f>
        <x:v>3.833333333430346</x:v>
      </x:c>
      <x:c r="Q40" s="15" t="n">
        <x:f>ROUND(((NETWORKDAYS(INT(E40),INT(F40),Guide!$E$5:$E$30)-1)*(Guide!$B$8-Guide!$B$7)+MOD(F40,1)-MOD(E40,1))*1440,2)</x:f>
        <x:v>170</x:v>
      </x:c>
      <x:c r="R40" s="14" t="n">
        <x:f>IF(INT(C40)=INT(F40),1,0)</x:f>
        <x:v>1</x:v>
      </x:c>
      <x:c r="S40" s="34" t="n">
        <x:f>WORKDAY(INT(C40),Guide!$B$5,Guide!$E$5:$E$30)+Guide!$B$8</x:f>
        <x:v>45765.708333333336</x:v>
      </x:c>
      <x:c r="T40" s="14" t="n">
        <x:f>IF(F40&lt;=S40,1,0)</x:f>
        <x:v>1</x:v>
      </x:c>
      <x:c r="U40" s="14" t="str">
        <x:f>IF(I40="","",IF(I40&lt;=Guide!$B$11,1,0))</x:f>
      </x:c>
      <x:c r="V40" s="14" t="n">
        <x:f>IF(OR(N40=0,H40=1,U40=1),1,0)</x:f>
        <x:v>0</x:v>
      </x:c>
    </x:row>
    <x:row r="41" ht="25" customHeight="1">
      <x:c r="A41" s="31" t="str">
        <x:v>CASE-04-006</x:v>
      </x:c>
      <x:c r="B41" s="31" t="str">
        <x:v>EMP-01</x:v>
      </x:c>
      <x:c r="C41" s="32" t="n">
        <x:v>45762.333333333336</x:v>
      </x:c>
      <x:c r="D41" s="32" t="n">
        <x:v>45762.350694444445</x:v>
      </x:c>
      <x:c r="E41" s="32" t="n">
        <x:v>45762.381944444445</x:v>
      </x:c>
      <x:c r="F41" s="32" t="n">
        <x:v>45762.70138888889</x:v>
      </x:c>
      <x:c r="G41" s="33" t="n">
        <x:v>200000</x:v>
      </x:c>
      <x:c r="H41" s="31" t="n">
        <x:v>0</x:v>
      </x:c>
      <x:c r="I41" s="31" t="n">
        <x:v>4</x:v>
      </x:c>
      <x:c r="J41" s="31" t="str">
        <x:v>Positive</x:v>
      </x:c>
      <x:c r="K41" s="31" t="str">
        <x:v>None</x:v>
      </x:c>
      <x:c r="L41" s="31" t="str">
        <x:v>Customer reports a clear and helpful resolution.</x:v>
      </x:c>
      <x:c r="M41" s="15" t="n">
        <x:f>ROUND(((NETWORKDAYS(INT(C41),INT(D41),Guide!$E$5:$E$30)-1)*(Guide!$B$8-Guide!$B$7)+MOD(D41,1)-MOD(C41,1))*1440,2)</x:f>
        <x:v>25</x:v>
      </x:c>
      <x:c r="N41" s="14" t="n">
        <x:f>IF(M41&lt;=Guide!$B$6,1,0)</x:f>
        <x:v>1</x:v>
      </x:c>
      <x:c r="O41" s="14" t="n">
        <x:f>NETWORKDAYS(INT(C41),INT(E41),Guide!$E$5:$E$30)-1</x:f>
        <x:v>0</x:v>
      </x:c>
      <x:c r="P41" s="15" t="n">
        <x:f>(F41-C41)*24</x:f>
        <x:v>8.83333333331393</x:v>
      </x:c>
      <x:c r="Q41" s="15" t="n">
        <x:f>ROUND(((NETWORKDAYS(INT(E41),INT(F41),Guide!$E$5:$E$30)-1)*(Guide!$B$8-Guide!$B$7)+MOD(F41,1)-MOD(E41,1))*1440,2)</x:f>
        <x:v>460</x:v>
      </x:c>
      <x:c r="R41" s="14" t="n">
        <x:f>IF(INT(C41)=INT(F41),1,0)</x:f>
        <x:v>1</x:v>
      </x:c>
      <x:c r="S41" s="34" t="n">
        <x:f>WORKDAY(INT(C41),Guide!$B$5,Guide!$E$5:$E$30)+Guide!$B$8</x:f>
        <x:v>45769.708333333336</x:v>
      </x:c>
      <x:c r="T41" s="14" t="n">
        <x:f>IF(F41&lt;=S41,1,0)</x:f>
        <x:v>1</x:v>
      </x:c>
      <x:c r="U41" s="14" t="n">
        <x:f>IF(I41="","",IF(I41&lt;=Guide!$B$11,1,0))</x:f>
        <x:v>0</x:v>
      </x:c>
      <x:c r="V41" s="14" t="n">
        <x:f>IF(OR(N41=0,H41=1,U41=1),1,0)</x:f>
        <x:v>0</x:v>
      </x:c>
    </x:row>
    <x:row r="42" ht="25" customHeight="1">
      <x:c r="A42" s="31" t="str">
        <x:v>CASE-04-007</x:v>
      </x:c>
      <x:c r="B42" s="31" t="str">
        <x:v>EMP-01</x:v>
      </x:c>
      <x:c r="C42" s="32" t="n">
        <x:v>45763.38888888889</x:v>
      </x:c>
      <x:c r="D42" s="32" t="n">
        <x:v>45763.40972222222</x:v>
      </x:c>
      <x:c r="E42" s="32" t="n">
        <x:v>45763.45138888889</x:v>
      </x:c>
      <x:c r="F42" s="32" t="n">
        <x:v>45763.70138888889</x:v>
      </x:c>
      <x:c r="G42" s="33" t="n">
        <x:v>2000000</x:v>
      </x:c>
      <x:c r="H42" s="31" t="n">
        <x:v>0</x:v>
      </x:c>
      <x:c r="I42" s="31" t="n">
        <x:v>4</x:v>
      </x:c>
      <x:c r="J42" s="31" t="str">
        <x:v>Positive</x:v>
      </x:c>
      <x:c r="K42" s="31" t="str">
        <x:v>None</x:v>
      </x:c>
      <x:c r="L42" s="31" t="str">
        <x:v>Customer reports a clear and helpful resolution.</x:v>
      </x:c>
      <x:c r="M42" s="15" t="n">
        <x:f>ROUND(((NETWORKDAYS(INT(C42),INT(D42),Guide!$E$5:$E$30)-1)*(Guide!$B$8-Guide!$B$7)+MOD(D42,1)-MOD(C42,1))*1440,2)</x:f>
        <x:v>30</x:v>
      </x:c>
      <x:c r="N42" s="14" t="n">
        <x:f>IF(M42&lt;=Guide!$B$6,1,0)</x:f>
        <x:v>1</x:v>
      </x:c>
      <x:c r="O42" s="14" t="n">
        <x:f>NETWORKDAYS(INT(C42),INT(E42),Guide!$E$5:$E$30)-1</x:f>
        <x:v>0</x:v>
      </x:c>
      <x:c r="P42" s="15" t="n">
        <x:f>(F42-C42)*24</x:f>
        <x:v>7.5</x:v>
      </x:c>
      <x:c r="Q42" s="15" t="n">
        <x:f>ROUND(((NETWORKDAYS(INT(E42),INT(F42),Guide!$E$5:$E$30)-1)*(Guide!$B$8-Guide!$B$7)+MOD(F42,1)-MOD(E42,1))*1440,2)</x:f>
        <x:v>360</x:v>
      </x:c>
      <x:c r="R42" s="14" t="n">
        <x:f>IF(INT(C42)=INT(F42),1,0)</x:f>
        <x:v>1</x:v>
      </x:c>
      <x:c r="S42" s="34" t="n">
        <x:f>WORKDAY(INT(C42),Guide!$B$5,Guide!$E$5:$E$30)+Guide!$B$8</x:f>
        <x:v>45770.708333333336</x:v>
      </x:c>
      <x:c r="T42" s="14" t="n">
        <x:f>IF(F42&lt;=S42,1,0)</x:f>
        <x:v>1</x:v>
      </x:c>
      <x:c r="U42" s="14" t="n">
        <x:f>IF(I42="","",IF(I42&lt;=Guide!$B$11,1,0))</x:f>
        <x:v>0</x:v>
      </x:c>
      <x:c r="V42" s="14" t="n">
        <x:f>IF(OR(N42=0,H42=1,U42=1),1,0)</x:f>
        <x:v>0</x:v>
      </x:c>
    </x:row>
    <x:row r="43" ht="25" customHeight="1">
      <x:c r="A43" s="31" t="str">
        <x:v>CASE-04-008</x:v>
      </x:c>
      <x:c r="B43" s="31" t="str">
        <x:v>EMP-01</x:v>
      </x:c>
      <x:c r="C43" s="32" t="n">
        <x:v>45769.694444444445</x:v>
      </x:c>
      <x:c r="D43" s="32" t="n">
        <x:v>45770.350694444445</x:v>
      </x:c>
      <x:c r="E43" s="32" t="n">
        <x:v>45770.381944444445</x:v>
      </x:c>
      <x:c r="F43" s="32" t="n">
        <x:v>45770.70138888889</x:v>
      </x:c>
      <x:c r="G43" s="33" t="n">
        <x:v>2000000</x:v>
      </x:c>
      <x:c r="H43" s="31" t="n">
        <x:v>0</x:v>
      </x:c>
      <x:c r="I43" s="31" t="n">
        <x:v>5</x:v>
      </x:c>
      <x:c r="J43" s="31" t="str">
        <x:v>Positive</x:v>
      </x:c>
      <x:c r="K43" s="31" t="str">
        <x:v>None</x:v>
      </x:c>
      <x:c r="L43" s="31" t="str">
        <x:v>Customer reports a clear and helpful resolution.</x:v>
      </x:c>
      <x:c r="M43" s="15" t="n">
        <x:f>ROUND(((NETWORKDAYS(INT(C43),INT(D43),Guide!$E$5:$E$30)-1)*(Guide!$B$8-Guide!$B$7)+MOD(D43,1)-MOD(C43,1))*1440,2)</x:f>
        <x:v>45</x:v>
      </x:c>
      <x:c r="N43" s="14" t="n">
        <x:f>IF(M43&lt;=Guide!$B$6,1,0)</x:f>
        <x:v>0</x:v>
      </x:c>
      <x:c r="O43" s="14" t="n">
        <x:f>NETWORKDAYS(INT(C43),INT(E43),Guide!$E$5:$E$30)-1</x:f>
        <x:v>1</x:v>
      </x:c>
      <x:c r="P43" s="15" t="n">
        <x:f>(F43-C43)*24</x:f>
        <x:v>24.16666666668607</x:v>
      </x:c>
      <x:c r="Q43" s="15" t="n">
        <x:f>ROUND(((NETWORKDAYS(INT(E43),INT(F43),Guide!$E$5:$E$30)-1)*(Guide!$B$8-Guide!$B$7)+MOD(F43,1)-MOD(E43,1))*1440,2)</x:f>
        <x:v>460</x:v>
      </x:c>
      <x:c r="R43" s="14" t="n">
        <x:f>IF(INT(C43)=INT(F43),1,0)</x:f>
        <x:v>0</x:v>
      </x:c>
      <x:c r="S43" s="34" t="n">
        <x:f>WORKDAY(INT(C43),Guide!$B$5,Guide!$E$5:$E$30)+Guide!$B$8</x:f>
        <x:v>45776.708333333336</x:v>
      </x:c>
      <x:c r="T43" s="14" t="n">
        <x:f>IF(F43&lt;=S43,1,0)</x:f>
        <x:v>1</x:v>
      </x:c>
      <x:c r="U43" s="14" t="n">
        <x:f>IF(I43="","",IF(I43&lt;=Guide!$B$11,1,0))</x:f>
        <x:v>0</x:v>
      </x:c>
      <x:c r="V43" s="14" t="n">
        <x:f>IF(OR(N43=0,H43=1,U43=1),1,0)</x:f>
        <x:v>1</x:v>
      </x:c>
    </x:row>
    <x:row r="44" ht="25" customHeight="1">
      <x:c r="A44" s="31" t="str">
        <x:v>CASE-04-009</x:v>
      </x:c>
      <x:c r="B44" s="31" t="str">
        <x:v>EMP-01</x:v>
      </x:c>
      <x:c r="C44" s="32" t="n">
        <x:v>45770.458333333336</x:v>
      </x:c>
      <x:c r="D44" s="32" t="n">
        <x:v>45770.479166666664</x:v>
      </x:c>
      <x:c r="E44" s="32" t="n">
        <x:v>45770.520833333336</x:v>
      </x:c>
      <x:c r="F44" s="32" t="n">
        <x:v>45770.70138888889</x:v>
      </x:c>
      <x:c r="G44" s="33" t="n">
        <x:v>200000</x:v>
      </x:c>
      <x:c r="H44" s="31" t="n">
        <x:v>0</x:v>
      </x:c>
      <x:c r="I44" s="31" t="n">
        <x:v>5</x:v>
      </x:c>
      <x:c r="J44" s="31" t="str">
        <x:v>Positive</x:v>
      </x:c>
      <x:c r="K44" s="31" t="str">
        <x:v>None</x:v>
      </x:c>
      <x:c r="L44" s="31" t="str">
        <x:v>Customer reports a clear and helpful resolution.</x:v>
      </x:c>
      <x:c r="M44" s="15" t="n">
        <x:f>ROUND(((NETWORKDAYS(INT(C44),INT(D44),Guide!$E$5:$E$30)-1)*(Guide!$B$8-Guide!$B$7)+MOD(D44,1)-MOD(C44,1))*1440,2)</x:f>
        <x:v>30</x:v>
      </x:c>
      <x:c r="N44" s="14" t="n">
        <x:f>IF(M44&lt;=Guide!$B$6,1,0)</x:f>
        <x:v>1</x:v>
      </x:c>
      <x:c r="O44" s="14" t="n">
        <x:f>NETWORKDAYS(INT(C44),INT(E44),Guide!$E$5:$E$30)-1</x:f>
        <x:v>0</x:v>
      </x:c>
      <x:c r="P44" s="15" t="n">
        <x:f>(F44-C44)*24</x:f>
        <x:v>5.833333333313931</x:v>
      </x:c>
      <x:c r="Q44" s="15" t="n">
        <x:f>ROUND(((NETWORKDAYS(INT(E44),INT(F44),Guide!$E$5:$E$30)-1)*(Guide!$B$8-Guide!$B$7)+MOD(F44,1)-MOD(E44,1))*1440,2)</x:f>
        <x:v>260</x:v>
      </x:c>
      <x:c r="R44" s="14" t="n">
        <x:f>IF(INT(C44)=INT(F44),1,0)</x:f>
        <x:v>1</x:v>
      </x:c>
      <x:c r="S44" s="34" t="n">
        <x:f>WORKDAY(INT(C44),Guide!$B$5,Guide!$E$5:$E$30)+Guide!$B$8</x:f>
        <x:v>45779.708333333336</x:v>
      </x:c>
      <x:c r="T44" s="14" t="n">
        <x:f>IF(F44&lt;=S44,1,0)</x:f>
        <x:v>1</x:v>
      </x:c>
      <x:c r="U44" s="14" t="n">
        <x:f>IF(I44="","",IF(I44&lt;=Guide!$B$11,1,0))</x:f>
        <x:v>0</x:v>
      </x:c>
      <x:c r="V44" s="14" t="n">
        <x:f>IF(OR(N44=0,H44=1,U44=1),1,0)</x:f>
        <x:v>0</x:v>
      </x:c>
    </x:row>
    <x:row r="45" ht="25" customHeight="1">
      <x:c r="A45" s="31" t="str">
        <x:v>CASE-04-010</x:v>
      </x:c>
      <x:c r="B45" s="31" t="str">
        <x:v>EMP-01</x:v>
      </x:c>
      <x:c r="C45" s="32" t="n">
        <x:v>45771.47222222222</x:v>
      </x:c>
      <x:c r="D45" s="32" t="n">
        <x:v>45771.48263888889</x:v>
      </x:c>
      <x:c r="E45" s="32" t="n">
        <x:v>45771.49652777778</x:v>
      </x:c>
      <x:c r="F45" s="32" t="n">
        <x:v>45771.70138888889</x:v>
      </x:c>
      <x:c r="G45" s="33" t="n">
        <x:v>500000</x:v>
      </x:c>
      <x:c r="H45" s="31" t="n">
        <x:v>0</x:v>
      </x:c>
      <x:c r="I45" s="31"/>
      <x:c r="J45" s="31" t="str">
        <x:v>No feedback</x:v>
      </x:c>
      <x:c r="K45" s="31" t="str">
        <x:v>Not assessed</x:v>
      </x:c>
      <x:c r="L45" s="31" t="str">
        <x:v>No survey response.</x:v>
      </x:c>
      <x:c r="M45" s="15" t="n">
        <x:f>ROUND(((NETWORKDAYS(INT(C45),INT(D45),Guide!$E$5:$E$30)-1)*(Guide!$B$8-Guide!$B$7)+MOD(D45,1)-MOD(C45,1))*1440,2)</x:f>
        <x:v>15</x:v>
      </x:c>
      <x:c r="N45" s="14" t="n">
        <x:f>IF(M45&lt;=Guide!$B$6,1,0)</x:f>
        <x:v>1</x:v>
      </x:c>
      <x:c r="O45" s="14" t="n">
        <x:f>NETWORKDAYS(INT(C45),INT(E45),Guide!$E$5:$E$30)-1</x:f>
        <x:v>0</x:v>
      </x:c>
      <x:c r="P45" s="15" t="n">
        <x:f>(F45-C45)*24</x:f>
        <x:v>5.500000000116415</x:v>
      </x:c>
      <x:c r="Q45" s="15" t="n">
        <x:f>ROUND(((NETWORKDAYS(INT(E45),INT(F45),Guide!$E$5:$E$30)-1)*(Guide!$B$8-Guide!$B$7)+MOD(F45,1)-MOD(E45,1))*1440,2)</x:f>
        <x:v>295</x:v>
      </x:c>
      <x:c r="R45" s="14" t="n">
        <x:f>IF(INT(C45)=INT(F45),1,0)</x:f>
        <x:v>1</x:v>
      </x:c>
      <x:c r="S45" s="34" t="n">
        <x:f>WORKDAY(INT(C45),Guide!$B$5,Guide!$E$5:$E$30)+Guide!$B$8</x:f>
        <x:v>45782.708333333336</x:v>
      </x:c>
      <x:c r="T45" s="14" t="n">
        <x:f>IF(F45&lt;=S45,1,0)</x:f>
        <x:v>1</x:v>
      </x:c>
      <x:c r="U45" s="14" t="str">
        <x:f>IF(I45="","",IF(I45&lt;=Guide!$B$11,1,0))</x:f>
      </x:c>
      <x:c r="V45" s="14" t="n">
        <x:f>IF(OR(N45=0,H45=1,U45=1),1,0)</x:f>
        <x:v>0</x:v>
      </x:c>
    </x:row>
    <x:row r="46" ht="25" customHeight="1">
      <x:c r="A46" s="31" t="str">
        <x:v>CASE-05-001</x:v>
      </x:c>
      <x:c r="B46" s="31" t="str">
        <x:v>EMP-01</x:v>
      </x:c>
      <x:c r="C46" s="32" t="n">
        <x:v>45785.381944444445</x:v>
      </x:c>
      <x:c r="D46" s="32" t="n">
        <x:v>45785.399305555555</x:v>
      </x:c>
      <x:c r="E46" s="32" t="n">
        <x:v>45785.430555555555</x:v>
      </x:c>
      <x:c r="F46" s="32" t="n">
        <x:v>45785.70138888889</x:v>
      </x:c>
      <x:c r="G46" s="33" t="n">
        <x:v>1000000</x:v>
      </x:c>
      <x:c r="H46" s="31" t="n">
        <x:v>0</x:v>
      </x:c>
      <x:c r="I46" s="31" t="n">
        <x:v>5</x:v>
      </x:c>
      <x:c r="J46" s="31" t="str">
        <x:v>Positive</x:v>
      </x:c>
      <x:c r="K46" s="31" t="str">
        <x:v>None</x:v>
      </x:c>
      <x:c r="L46" s="31" t="str">
        <x:v>Customer reports a clear and helpful resolution.</x:v>
      </x:c>
      <x:c r="M46" s="15" t="n">
        <x:f>ROUND(((NETWORKDAYS(INT(C46),INT(D46),Guide!$E$5:$E$30)-1)*(Guide!$B$8-Guide!$B$7)+MOD(D46,1)-MOD(C46,1))*1440,2)</x:f>
        <x:v>25</x:v>
      </x:c>
      <x:c r="N46" s="14" t="n">
        <x:f>IF(M46&lt;=Guide!$B$6,1,0)</x:f>
        <x:v>1</x:v>
      </x:c>
      <x:c r="O46" s="14" t="n">
        <x:f>NETWORKDAYS(INT(C46),INT(E46),Guide!$E$5:$E$30)-1</x:f>
        <x:v>0</x:v>
      </x:c>
      <x:c r="P46" s="15" t="n">
        <x:f>(F46-C46)*24</x:f>
        <x:v>7.666666666686069</x:v>
      </x:c>
      <x:c r="Q46" s="15" t="n">
        <x:f>ROUND(((NETWORKDAYS(INT(E46),INT(F46),Guide!$E$5:$E$30)-1)*(Guide!$B$8-Guide!$B$7)+MOD(F46,1)-MOD(E46,1))*1440,2)</x:f>
        <x:v>390</x:v>
      </x:c>
      <x:c r="R46" s="14" t="n">
        <x:f>IF(INT(C46)=INT(F46),1,0)</x:f>
        <x:v>1</x:v>
      </x:c>
      <x:c r="S46" s="34" t="n">
        <x:f>WORKDAY(INT(C46),Guide!$B$5,Guide!$E$5:$E$30)+Guide!$B$8</x:f>
        <x:v>45792.708333333336</x:v>
      </x:c>
      <x:c r="T46" s="14" t="n">
        <x:f>IF(F46&lt;=S46,1,0)</x:f>
        <x:v>1</x:v>
      </x:c>
      <x:c r="U46" s="14" t="n">
        <x:f>IF(I46="","",IF(I46&lt;=Guide!$B$11,1,0))</x:f>
        <x:v>0</x:v>
      </x:c>
      <x:c r="V46" s="14" t="n">
        <x:f>IF(OR(N46=0,H46=1,U46=1),1,0)</x:f>
        <x:v>0</x:v>
      </x:c>
    </x:row>
    <x:row r="47" ht="25" customHeight="1">
      <x:c r="A47" s="31" t="str">
        <x:v>CASE-05-002</x:v>
      </x:c>
      <x:c r="B47" s="31" t="str">
        <x:v>EMP-01</x:v>
      </x:c>
      <x:c r="C47" s="32" t="n">
        <x:v>45789.697916666664</x:v>
      </x:c>
      <x:c r="D47" s="32" t="n">
        <x:v>45789.708333333336</x:v>
      </x:c>
      <x:c r="E47" s="32" t="n">
        <x:v>45790.38888888889</x:v>
      </x:c>
      <x:c r="F47" s="32" t="n">
        <x:v>45790.70138888889</x:v>
      </x:c>
      <x:c r="G47" s="33" t="n">
        <x:v>100000</x:v>
      </x:c>
      <x:c r="H47" s="31" t="n">
        <x:v>0</x:v>
      </x:c>
      <x:c r="I47" s="31" t="n">
        <x:v>4</x:v>
      </x:c>
      <x:c r="J47" s="31" t="str">
        <x:v>Positive</x:v>
      </x:c>
      <x:c r="K47" s="31" t="str">
        <x:v>None</x:v>
      </x:c>
      <x:c r="L47" s="31" t="str">
        <x:v>Customer reports a clear and helpful resolution.</x:v>
      </x:c>
      <x:c r="M47" s="15" t="n">
        <x:f>ROUND(((NETWORKDAYS(INT(C47),INT(D47),Guide!$E$5:$E$30)-1)*(Guide!$B$8-Guide!$B$7)+MOD(D47,1)-MOD(C47,1))*1440,2)</x:f>
        <x:v>15</x:v>
      </x:c>
      <x:c r="N47" s="14" t="n">
        <x:f>IF(M47&lt;=Guide!$B$6,1,0)</x:f>
        <x:v>1</x:v>
      </x:c>
      <x:c r="O47" s="14" t="n">
        <x:f>NETWORKDAYS(INT(C47),INT(E47),Guide!$E$5:$E$30)-1</x:f>
        <x:v>1</x:v>
      </x:c>
      <x:c r="P47" s="15" t="n">
        <x:f>(F47-C47)*24</x:f>
        <x:v>24.083333333430346</x:v>
      </x:c>
      <x:c r="Q47" s="15" t="n">
        <x:f>ROUND(((NETWORKDAYS(INT(E47),INT(F47),Guide!$E$5:$E$30)-1)*(Guide!$B$8-Guide!$B$7)+MOD(F47,1)-MOD(E47,1))*1440,2)</x:f>
        <x:v>450</x:v>
      </x:c>
      <x:c r="R47" s="14" t="n">
        <x:f>IF(INT(C47)=INT(F47),1,0)</x:f>
        <x:v>0</x:v>
      </x:c>
      <x:c r="S47" s="34" t="n">
        <x:f>WORKDAY(INT(C47),Guide!$B$5,Guide!$E$5:$E$30)+Guide!$B$8</x:f>
        <x:v>45796.708333333336</x:v>
      </x:c>
      <x:c r="T47" s="14" t="n">
        <x:f>IF(F47&lt;=S47,1,0)</x:f>
        <x:v>1</x:v>
      </x:c>
      <x:c r="U47" s="14" t="n">
        <x:f>IF(I47="","",IF(I47&lt;=Guide!$B$11,1,0))</x:f>
        <x:v>0</x:v>
      </x:c>
      <x:c r="V47" s="14" t="n">
        <x:f>IF(OR(N47=0,H47=1,U47=1),1,0)</x:f>
        <x:v>0</x:v>
      </x:c>
    </x:row>
    <x:row r="48" ht="25" customHeight="1">
      <x:c r="A48" s="31" t="str">
        <x:v>CASE-05-003</x:v>
      </x:c>
      <x:c r="B48" s="31" t="str">
        <x:v>EMP-01</x:v>
      </x:c>
      <x:c r="C48" s="32" t="n">
        <x:v>45790.34027777778</x:v>
      </x:c>
      <x:c r="D48" s="32" t="n">
        <x:v>45790.35763888889</x:v>
      </x:c>
      <x:c r="E48" s="32" t="n">
        <x:v>45790.37152777778</x:v>
      </x:c>
      <x:c r="F48" s="32" t="n">
        <x:v>45790.70138888889</x:v>
      </x:c>
      <x:c r="G48" s="33" t="n">
        <x:v>3000000</x:v>
      </x:c>
      <x:c r="H48" s="31" t="n">
        <x:v>0</x:v>
      </x:c>
      <x:c r="I48" s="31" t="n">
        <x:v>4</x:v>
      </x:c>
      <x:c r="J48" s="31" t="str">
        <x:v>Positive</x:v>
      </x:c>
      <x:c r="K48" s="31" t="str">
        <x:v>None</x:v>
      </x:c>
      <x:c r="L48" s="31" t="str">
        <x:v>Customer reports a clear and helpful resolution.</x:v>
      </x:c>
      <x:c r="M48" s="15" t="n">
        <x:f>ROUND(((NETWORKDAYS(INT(C48),INT(D48),Guide!$E$5:$E$30)-1)*(Guide!$B$8-Guide!$B$7)+MOD(D48,1)-MOD(C48,1))*1440,2)</x:f>
        <x:v>25</x:v>
      </x:c>
      <x:c r="N48" s="14" t="n">
        <x:f>IF(M48&lt;=Guide!$B$6,1,0)</x:f>
        <x:v>1</x:v>
      </x:c>
      <x:c r="O48" s="14" t="n">
        <x:f>NETWORKDAYS(INT(C48),INT(E48),Guide!$E$5:$E$30)-1</x:f>
        <x:v>0</x:v>
      </x:c>
      <x:c r="P48" s="15" t="n">
        <x:f>(F48-C48)*24</x:f>
        <x:v>8.666666666627862</x:v>
      </x:c>
      <x:c r="Q48" s="15" t="n">
        <x:f>ROUND(((NETWORKDAYS(INT(E48),INT(F48),Guide!$E$5:$E$30)-1)*(Guide!$B$8-Guide!$B$7)+MOD(F48,1)-MOD(E48,1))*1440,2)</x:f>
        <x:v>475</x:v>
      </x:c>
      <x:c r="R48" s="14" t="n">
        <x:f>IF(INT(C48)=INT(F48),1,0)</x:f>
        <x:v>1</x:v>
      </x:c>
      <x:c r="S48" s="34" t="n">
        <x:f>WORKDAY(INT(C48),Guide!$B$5,Guide!$E$5:$E$30)+Guide!$B$8</x:f>
        <x:v>45797.708333333336</x:v>
      </x:c>
      <x:c r="T48" s="14" t="n">
        <x:f>IF(F48&lt;=S48,1,0)</x:f>
        <x:v>1</x:v>
      </x:c>
      <x:c r="U48" s="14" t="n">
        <x:f>IF(I48="","",IF(I48&lt;=Guide!$B$11,1,0))</x:f>
        <x:v>0</x:v>
      </x:c>
      <x:c r="V48" s="14" t="n">
        <x:f>IF(OR(N48=0,H48=1,U48=1),1,0)</x:f>
        <x:v>0</x:v>
      </x:c>
    </x:row>
    <x:row r="49" ht="25" customHeight="1">
      <x:c r="A49" s="31" t="str">
        <x:v>CASE-05-004</x:v>
      </x:c>
      <x:c r="B49" s="31" t="str">
        <x:v>EMP-01</x:v>
      </x:c>
      <x:c r="C49" s="32" t="n">
        <x:v>45792.416666666664</x:v>
      </x:c>
      <x:c r="D49" s="32" t="n">
        <x:v>45792.4375</x:v>
      </x:c>
      <x:c r="E49" s="32" t="n">
        <x:v>45792.479166666664</x:v>
      </x:c>
      <x:c r="F49" s="32" t="n">
        <x:v>45792.70138888889</x:v>
      </x:c>
      <x:c r="G49" s="33" t="n">
        <x:v>1000000</x:v>
      </x:c>
      <x:c r="H49" s="31" t="n">
        <x:v>0</x:v>
      </x:c>
      <x:c r="I49" s="31" t="n">
        <x:v>4</x:v>
      </x:c>
      <x:c r="J49" s="31" t="str">
        <x:v>Positive</x:v>
      </x:c>
      <x:c r="K49" s="31" t="str">
        <x:v>None</x:v>
      </x:c>
      <x:c r="L49" s="31" t="str">
        <x:v>Customer reports a clear and helpful resolution.</x:v>
      </x:c>
      <x:c r="M49" s="15" t="n">
        <x:f>ROUND(((NETWORKDAYS(INT(C49),INT(D49),Guide!$E$5:$E$30)-1)*(Guide!$B$8-Guide!$B$7)+MOD(D49,1)-MOD(C49,1))*1440,2)</x:f>
        <x:v>30</x:v>
      </x:c>
      <x:c r="N49" s="14" t="n">
        <x:f>IF(M49&lt;=Guide!$B$6,1,0)</x:f>
        <x:v>1</x:v>
      </x:c>
      <x:c r="O49" s="14" t="n">
        <x:f>NETWORKDAYS(INT(C49),INT(E49),Guide!$E$5:$E$30)-1</x:f>
        <x:v>0</x:v>
      </x:c>
      <x:c r="P49" s="15" t="n">
        <x:f>(F49-C49)*24</x:f>
        <x:v>6.833333333430346</x:v>
      </x:c>
      <x:c r="Q49" s="15" t="n">
        <x:f>ROUND(((NETWORKDAYS(INT(E49),INT(F49),Guide!$E$5:$E$30)-1)*(Guide!$B$8-Guide!$B$7)+MOD(F49,1)-MOD(E49,1))*1440,2)</x:f>
        <x:v>320</x:v>
      </x:c>
      <x:c r="R49" s="14" t="n">
        <x:f>IF(INT(C49)=INT(F49),1,0)</x:f>
        <x:v>1</x:v>
      </x:c>
      <x:c r="S49" s="34" t="n">
        <x:f>WORKDAY(INT(C49),Guide!$B$5,Guide!$E$5:$E$30)+Guide!$B$8</x:f>
        <x:v>45799.708333333336</x:v>
      </x:c>
      <x:c r="T49" s="14" t="n">
        <x:f>IF(F49&lt;=S49,1,0)</x:f>
        <x:v>1</x:v>
      </x:c>
      <x:c r="U49" s="14" t="n">
        <x:f>IF(I49="","",IF(I49&lt;=Guide!$B$11,1,0))</x:f>
        <x:v>0</x:v>
      </x:c>
      <x:c r="V49" s="14" t="n">
        <x:f>IF(OR(N49=0,H49=1,U49=1),1,0)</x:f>
        <x:v>0</x:v>
      </x:c>
    </x:row>
    <x:row r="50" ht="25" customHeight="1">
      <x:c r="A50" s="31" t="str">
        <x:v>CASE-05-005</x:v>
      </x:c>
      <x:c r="B50" s="31" t="str">
        <x:v>EMP-01</x:v>
      </x:c>
      <x:c r="C50" s="32" t="n">
        <x:v>45793.4375</x:v>
      </x:c>
      <x:c r="D50" s="32" t="n">
        <x:v>45793.45486111111</x:v>
      </x:c>
      <x:c r="E50" s="32" t="n">
        <x:v>45793.49652777778</x:v>
      </x:c>
      <x:c r="F50" s="32" t="n">
        <x:v>45793.70138888889</x:v>
      </x:c>
      <x:c r="G50" s="33" t="n">
        <x:v>1000000</x:v>
      </x:c>
      <x:c r="H50" s="31" t="n">
        <x:v>0</x:v>
      </x:c>
      <x:c r="I50" s="31"/>
      <x:c r="J50" s="31" t="str">
        <x:v>No feedback</x:v>
      </x:c>
      <x:c r="K50" s="31" t="str">
        <x:v>Not assessed</x:v>
      </x:c>
      <x:c r="L50" s="31" t="str">
        <x:v>No survey response.</x:v>
      </x:c>
      <x:c r="M50" s="15" t="n">
        <x:f>ROUND(((NETWORKDAYS(INT(C50),INT(D50),Guide!$E$5:$E$30)-1)*(Guide!$B$8-Guide!$B$7)+MOD(D50,1)-MOD(C50,1))*1440,2)</x:f>
        <x:v>25</x:v>
      </x:c>
      <x:c r="N50" s="14" t="n">
        <x:f>IF(M50&lt;=Guide!$B$6,1,0)</x:f>
        <x:v>1</x:v>
      </x:c>
      <x:c r="O50" s="14" t="n">
        <x:f>NETWORKDAYS(INT(C50),INT(E50),Guide!$E$5:$E$30)-1</x:f>
        <x:v>0</x:v>
      </x:c>
      <x:c r="P50" s="15" t="n">
        <x:f>(F50-C50)*24</x:f>
        <x:v>6.333333333372138</x:v>
      </x:c>
      <x:c r="Q50" s="15" t="n">
        <x:f>ROUND(((NETWORKDAYS(INT(E50),INT(F50),Guide!$E$5:$E$30)-1)*(Guide!$B$8-Guide!$B$7)+MOD(F50,1)-MOD(E50,1))*1440,2)</x:f>
        <x:v>295</x:v>
      </x:c>
      <x:c r="R50" s="14" t="n">
        <x:f>IF(INT(C50)=INT(F50),1,0)</x:f>
        <x:v>1</x:v>
      </x:c>
      <x:c r="S50" s="34" t="n">
        <x:f>WORKDAY(INT(C50),Guide!$B$5,Guide!$E$5:$E$30)+Guide!$B$8</x:f>
        <x:v>45800.708333333336</x:v>
      </x:c>
      <x:c r="T50" s="14" t="n">
        <x:f>IF(F50&lt;=S50,1,0)</x:f>
        <x:v>1</x:v>
      </x:c>
      <x:c r="U50" s="14" t="str">
        <x:f>IF(I50="","",IF(I50&lt;=Guide!$B$11,1,0))</x:f>
      </x:c>
      <x:c r="V50" s="14" t="n">
        <x:f>IF(OR(N50=0,H50=1,U50=1),1,0)</x:f>
        <x:v>0</x:v>
      </x:c>
    </x:row>
    <x:row r="51" ht="25" customHeight="1">
      <x:c r="A51" s="31" t="str">
        <x:v>CASE-05-006</x:v>
      </x:c>
      <x:c r="B51" s="31" t="str">
        <x:v>EMP-01</x:v>
      </x:c>
      <x:c r="C51" s="32" t="n">
        <x:v>45796.34027777778</x:v>
      </x:c>
      <x:c r="D51" s="32" t="n">
        <x:v>45796.350694444445</x:v>
      </x:c>
      <x:c r="E51" s="32" t="n">
        <x:v>45796.381944444445</x:v>
      </x:c>
      <x:c r="F51" s="32" t="n">
        <x:v>45796.70138888889</x:v>
      </x:c>
      <x:c r="G51" s="33" t="n">
        <x:v>200000</x:v>
      </x:c>
      <x:c r="H51" s="31" t="n">
        <x:v>0</x:v>
      </x:c>
      <x:c r="I51" s="31" t="n">
        <x:v>5</x:v>
      </x:c>
      <x:c r="J51" s="31" t="str">
        <x:v>Positive</x:v>
      </x:c>
      <x:c r="K51" s="31" t="str">
        <x:v>None</x:v>
      </x:c>
      <x:c r="L51" s="31" t="str">
        <x:v>Customer reports a clear and helpful resolution.</x:v>
      </x:c>
      <x:c r="M51" s="15" t="n">
        <x:f>ROUND(((NETWORKDAYS(INT(C51),INT(D51),Guide!$E$5:$E$30)-1)*(Guide!$B$8-Guide!$B$7)+MOD(D51,1)-MOD(C51,1))*1440,2)</x:f>
        <x:v>15</x:v>
      </x:c>
      <x:c r="N51" s="14" t="n">
        <x:f>IF(M51&lt;=Guide!$B$6,1,0)</x:f>
        <x:v>1</x:v>
      </x:c>
      <x:c r="O51" s="14" t="n">
        <x:f>NETWORKDAYS(INT(C51),INT(E51),Guide!$E$5:$E$30)-1</x:f>
        <x:v>0</x:v>
      </x:c>
      <x:c r="P51" s="15" t="n">
        <x:f>(F51-C51)*24</x:f>
        <x:v>8.666666666627862</x:v>
      </x:c>
      <x:c r="Q51" s="15" t="n">
        <x:f>ROUND(((NETWORKDAYS(INT(E51),INT(F51),Guide!$E$5:$E$30)-1)*(Guide!$B$8-Guide!$B$7)+MOD(F51,1)-MOD(E51,1))*1440,2)</x:f>
        <x:v>460</x:v>
      </x:c>
      <x:c r="R51" s="14" t="n">
        <x:f>IF(INT(C51)=INT(F51),1,0)</x:f>
        <x:v>1</x:v>
      </x:c>
      <x:c r="S51" s="34" t="n">
        <x:f>WORKDAY(INT(C51),Guide!$B$5,Guide!$E$5:$E$30)+Guide!$B$8</x:f>
        <x:v>45803.708333333336</x:v>
      </x:c>
      <x:c r="T51" s="14" t="n">
        <x:f>IF(F51&lt;=S51,1,0)</x:f>
        <x:v>1</x:v>
      </x:c>
      <x:c r="U51" s="14" t="n">
        <x:f>IF(I51="","",IF(I51&lt;=Guide!$B$11,1,0))</x:f>
        <x:v>0</x:v>
      </x:c>
      <x:c r="V51" s="14" t="n">
        <x:f>IF(OR(N51=0,H51=1,U51=1),1,0)</x:f>
        <x:v>0</x:v>
      </x:c>
    </x:row>
    <x:row r="52" ht="25" customHeight="1">
      <x:c r="A52" s="31" t="str">
        <x:v>CASE-05-007</x:v>
      </x:c>
      <x:c r="B52" s="31" t="str">
        <x:v>EMP-01</x:v>
      </x:c>
      <x:c r="C52" s="32" t="n">
        <x:v>45797.333333333336</x:v>
      </x:c>
      <x:c r="D52" s="32" t="n">
        <x:v>45797.34027777778</x:v>
      </x:c>
      <x:c r="E52" s="32" t="n">
        <x:v>45797.37152777778</x:v>
      </x:c>
      <x:c r="F52" s="32" t="n">
        <x:v>45797.70138888889</x:v>
      </x:c>
      <x:c r="G52" s="33" t="n">
        <x:v>100000</x:v>
      </x:c>
      <x:c r="H52" s="31" t="n">
        <x:v>0</x:v>
      </x:c>
      <x:c r="I52" s="31" t="n">
        <x:v>5</x:v>
      </x:c>
      <x:c r="J52" s="31" t="str">
        <x:v>Positive</x:v>
      </x:c>
      <x:c r="K52" s="31" t="str">
        <x:v>None</x:v>
      </x:c>
      <x:c r="L52" s="31" t="str">
        <x:v>Customer reports a clear and helpful resolution.</x:v>
      </x:c>
      <x:c r="M52" s="15" t="n">
        <x:f>ROUND(((NETWORKDAYS(INT(C52),INT(D52),Guide!$E$5:$E$30)-1)*(Guide!$B$8-Guide!$B$7)+MOD(D52,1)-MOD(C52,1))*1440,2)</x:f>
        <x:v>10</x:v>
      </x:c>
      <x:c r="N52" s="14" t="n">
        <x:f>IF(M52&lt;=Guide!$B$6,1,0)</x:f>
        <x:v>1</x:v>
      </x:c>
      <x:c r="O52" s="14" t="n">
        <x:f>NETWORKDAYS(INT(C52),INT(E52),Guide!$E$5:$E$30)-1</x:f>
        <x:v>0</x:v>
      </x:c>
      <x:c r="P52" s="15" t="n">
        <x:f>(F52-C52)*24</x:f>
        <x:v>8.83333333331393</x:v>
      </x:c>
      <x:c r="Q52" s="15" t="n">
        <x:f>ROUND(((NETWORKDAYS(INT(E52),INT(F52),Guide!$E$5:$E$30)-1)*(Guide!$B$8-Guide!$B$7)+MOD(F52,1)-MOD(E52,1))*1440,2)</x:f>
        <x:v>475</x:v>
      </x:c>
      <x:c r="R52" s="14" t="n">
        <x:f>IF(INT(C52)=INT(F52),1,0)</x:f>
        <x:v>1</x:v>
      </x:c>
      <x:c r="S52" s="34" t="n">
        <x:f>WORKDAY(INT(C52),Guide!$B$5,Guide!$E$5:$E$30)+Guide!$B$8</x:f>
        <x:v>45804.708333333336</x:v>
      </x:c>
      <x:c r="T52" s="14" t="n">
        <x:f>IF(F52&lt;=S52,1,0)</x:f>
        <x:v>1</x:v>
      </x:c>
      <x:c r="U52" s="14" t="n">
        <x:f>IF(I52="","",IF(I52&lt;=Guide!$B$11,1,0))</x:f>
        <x:v>0</x:v>
      </x:c>
      <x:c r="V52" s="14" t="n">
        <x:f>IF(OR(N52=0,H52=1,U52=1),1,0)</x:f>
        <x:v>0</x:v>
      </x:c>
    </x:row>
    <x:row r="53" ht="25" customHeight="1">
      <x:c r="A53" s="31" t="str">
        <x:v>CASE-05-008</x:v>
      </x:c>
      <x:c r="B53" s="31" t="str">
        <x:v>EMP-01</x:v>
      </x:c>
      <x:c r="C53" s="32" t="n">
        <x:v>45798.70138888889</x:v>
      </x:c>
      <x:c r="D53" s="32" t="n">
        <x:v>45799.34027777778</x:v>
      </x:c>
      <x:c r="E53" s="32" t="n">
        <x:v>45799.395833333336</x:v>
      </x:c>
      <x:c r="F53" s="32" t="n">
        <x:v>45799.70138888889</x:v>
      </x:c>
      <x:c r="G53" s="33" t="n">
        <x:v>100000</x:v>
      </x:c>
      <x:c r="H53" s="31" t="n">
        <x:v>0</x:v>
      </x:c>
      <x:c r="I53" s="31" t="n">
        <x:v>5</x:v>
      </x:c>
      <x:c r="J53" s="31" t="str">
        <x:v>Positive</x:v>
      </x:c>
      <x:c r="K53" s="31" t="str">
        <x:v>None</x:v>
      </x:c>
      <x:c r="L53" s="31" t="str">
        <x:v>Customer reports a clear and helpful resolution.</x:v>
      </x:c>
      <x:c r="M53" s="15" t="n">
        <x:f>ROUND(((NETWORKDAYS(INT(C53),INT(D53),Guide!$E$5:$E$30)-1)*(Guide!$B$8-Guide!$B$7)+MOD(D53,1)-MOD(C53,1))*1440,2)</x:f>
        <x:v>20</x:v>
      </x:c>
      <x:c r="N53" s="14" t="n">
        <x:f>IF(M53&lt;=Guide!$B$6,1,0)</x:f>
        <x:v>1</x:v>
      </x:c>
      <x:c r="O53" s="14" t="n">
        <x:f>NETWORKDAYS(INT(C53),INT(E53),Guide!$E$5:$E$30)-1</x:f>
        <x:v>1</x:v>
      </x:c>
      <x:c r="P53" s="15" t="n">
        <x:f>(F53-C53)*24</x:f>
        <x:v>24</x:v>
      </x:c>
      <x:c r="Q53" s="15" t="n">
        <x:f>ROUND(((NETWORKDAYS(INT(E53),INT(F53),Guide!$E$5:$E$30)-1)*(Guide!$B$8-Guide!$B$7)+MOD(F53,1)-MOD(E53,1))*1440,2)</x:f>
        <x:v>440</x:v>
      </x:c>
      <x:c r="R53" s="14" t="n">
        <x:f>IF(INT(C53)=INT(F53),1,0)</x:f>
        <x:v>0</x:v>
      </x:c>
      <x:c r="S53" s="34" t="n">
        <x:f>WORKDAY(INT(C53),Guide!$B$5,Guide!$E$5:$E$30)+Guide!$B$8</x:f>
        <x:v>45805.708333333336</x:v>
      </x:c>
      <x:c r="T53" s="14" t="n">
        <x:f>IF(F53&lt;=S53,1,0)</x:f>
        <x:v>1</x:v>
      </x:c>
      <x:c r="U53" s="14" t="n">
        <x:f>IF(I53="","",IF(I53&lt;=Guide!$B$11,1,0))</x:f>
        <x:v>0</x:v>
      </x:c>
      <x:c r="V53" s="14" t="n">
        <x:f>IF(OR(N53=0,H53=1,U53=1),1,0)</x:f>
        <x:v>0</x:v>
      </x:c>
    </x:row>
    <x:row r="54" ht="25" customHeight="1">
      <x:c r="A54" s="31" t="str">
        <x:v>CASE-05-009</x:v>
      </x:c>
      <x:c r="B54" s="31" t="str">
        <x:v>EMP-01</x:v>
      </x:c>
      <x:c r="C54" s="32" t="n">
        <x:v>45799.46527777778</x:v>
      </x:c>
      <x:c r="D54" s="32" t="n">
        <x:v>45799.475694444445</x:v>
      </x:c>
      <x:c r="E54" s="32" t="n">
        <x:v>45799.51736111111</x:v>
      </x:c>
      <x:c r="F54" s="32" t="n">
        <x:v>45799.70138888889</x:v>
      </x:c>
      <x:c r="G54" s="33" t="n">
        <x:v>100000</x:v>
      </x:c>
      <x:c r="H54" s="31" t="n">
        <x:v>0</x:v>
      </x:c>
      <x:c r="I54" s="31" t="n">
        <x:v>5</x:v>
      </x:c>
      <x:c r="J54" s="31" t="str">
        <x:v>Positive</x:v>
      </x:c>
      <x:c r="K54" s="31" t="str">
        <x:v>None</x:v>
      </x:c>
      <x:c r="L54" s="31" t="str">
        <x:v>Customer reports a clear and helpful resolution.</x:v>
      </x:c>
      <x:c r="M54" s="15" t="n">
        <x:f>ROUND(((NETWORKDAYS(INT(C54),INT(D54),Guide!$E$5:$E$30)-1)*(Guide!$B$8-Guide!$B$7)+MOD(D54,1)-MOD(C54,1))*1440,2)</x:f>
        <x:v>15</x:v>
      </x:c>
      <x:c r="N54" s="14" t="n">
        <x:f>IF(M54&lt;=Guide!$B$6,1,0)</x:f>
        <x:v>1</x:v>
      </x:c>
      <x:c r="O54" s="14" t="n">
        <x:f>NETWORKDAYS(INT(C54),INT(E54),Guide!$E$5:$E$30)-1</x:f>
        <x:v>0</x:v>
      </x:c>
      <x:c r="P54" s="15" t="n">
        <x:f>(F54-C54)*24</x:f>
        <x:v>5.666666666627862</x:v>
      </x:c>
      <x:c r="Q54" s="15" t="n">
        <x:f>ROUND(((NETWORKDAYS(INT(E54),INT(F54),Guide!$E$5:$E$30)-1)*(Guide!$B$8-Guide!$B$7)+MOD(F54,1)-MOD(E54,1))*1440,2)</x:f>
        <x:v>265</x:v>
      </x:c>
      <x:c r="R54" s="14" t="n">
        <x:f>IF(INT(C54)=INT(F54),1,0)</x:f>
        <x:v>1</x:v>
      </x:c>
      <x:c r="S54" s="34" t="n">
        <x:f>WORKDAY(INT(C54),Guide!$B$5,Guide!$E$5:$E$30)+Guide!$B$8</x:f>
        <x:v>45806.708333333336</x:v>
      </x:c>
      <x:c r="T54" s="14" t="n">
        <x:f>IF(F54&lt;=S54,1,0)</x:f>
        <x:v>1</x:v>
      </x:c>
      <x:c r="U54" s="14" t="n">
        <x:f>IF(I54="","",IF(I54&lt;=Guide!$B$11,1,0))</x:f>
        <x:v>0</x:v>
      </x:c>
      <x:c r="V54" s="14" t="n">
        <x:f>IF(OR(N54=0,H54=1,U54=1),1,0)</x:f>
        <x:v>0</x:v>
      </x:c>
    </x:row>
    <x:row r="55" ht="25" customHeight="1">
      <x:c r="A55" s="31" t="str">
        <x:v>CASE-05-010</x:v>
      </x:c>
      <x:c r="B55" s="31" t="str">
        <x:v>EMP-01</x:v>
      </x:c>
      <x:c r="C55" s="32" t="n">
        <x:v>45800.38888888889</x:v>
      </x:c>
      <x:c r="D55" s="32" t="n">
        <x:v>45800.40277777778</x:v>
      </x:c>
      <x:c r="E55" s="32" t="n">
        <x:v>45800.42361111111</x:v>
      </x:c>
      <x:c r="F55" s="32" t="n">
        <x:v>45800.70138888889</x:v>
      </x:c>
      <x:c r="G55" s="33" t="n">
        <x:v>5000000</x:v>
      </x:c>
      <x:c r="H55" s="31" t="n">
        <x:v>0</x:v>
      </x:c>
      <x:c r="I55" s="31"/>
      <x:c r="J55" s="31" t="str">
        <x:v>No feedback</x:v>
      </x:c>
      <x:c r="K55" s="31" t="str">
        <x:v>Not assessed</x:v>
      </x:c>
      <x:c r="L55" s="31" t="str">
        <x:v>No survey response.</x:v>
      </x:c>
      <x:c r="M55" s="15" t="n">
        <x:f>ROUND(((NETWORKDAYS(INT(C55),INT(D55),Guide!$E$5:$E$30)-1)*(Guide!$B$8-Guide!$B$7)+MOD(D55,1)-MOD(C55,1))*1440,2)</x:f>
        <x:v>20</x:v>
      </x:c>
      <x:c r="N55" s="14" t="n">
        <x:f>IF(M55&lt;=Guide!$B$6,1,0)</x:f>
        <x:v>1</x:v>
      </x:c>
      <x:c r="O55" s="14" t="n">
        <x:f>NETWORKDAYS(INT(C55),INT(E55),Guide!$E$5:$E$30)-1</x:f>
        <x:v>0</x:v>
      </x:c>
      <x:c r="P55" s="15" t="n">
        <x:f>(F55-C55)*24</x:f>
        <x:v>7.5</x:v>
      </x:c>
      <x:c r="Q55" s="15" t="n">
        <x:f>ROUND(((NETWORKDAYS(INT(E55),INT(F55),Guide!$E$5:$E$30)-1)*(Guide!$B$8-Guide!$B$7)+MOD(F55,1)-MOD(E55,1))*1440,2)</x:f>
        <x:v>400</x:v>
      </x:c>
      <x:c r="R55" s="14" t="n">
        <x:f>IF(INT(C55)=INT(F55),1,0)</x:f>
        <x:v>1</x:v>
      </x:c>
      <x:c r="S55" s="34" t="n">
        <x:f>WORKDAY(INT(C55),Guide!$B$5,Guide!$E$5:$E$30)+Guide!$B$8</x:f>
        <x:v>45807.708333333336</x:v>
      </x:c>
      <x:c r="T55" s="14" t="n">
        <x:f>IF(F55&lt;=S55,1,0)</x:f>
        <x:v>1</x:v>
      </x:c>
      <x:c r="U55" s="14" t="str">
        <x:f>IF(I55="","",IF(I55&lt;=Guide!$B$11,1,0))</x:f>
      </x:c>
      <x:c r="V55" s="14" t="n">
        <x:f>IF(OR(N55=0,H55=1,U55=1),1,0)</x:f>
        <x:v>0</x:v>
      </x:c>
    </x:row>
    <x:row r="56" ht="25" customHeight="1">
      <x:c r="A56" s="31" t="str">
        <x:v>CASE-06-001</x:v>
      </x:c>
      <x:c r="B56" s="31" t="str">
        <x:v>EMP-01</x:v>
      </x:c>
      <x:c r="C56" s="32" t="n">
        <x:v>45810.46527777778</x:v>
      </x:c>
      <x:c r="D56" s="32" t="n">
        <x:v>45810.46875</x:v>
      </x:c>
      <x:c r="E56" s="32" t="n">
        <x:v>45810.510416666664</x:v>
      </x:c>
      <x:c r="F56" s="32" t="n">
        <x:v>45810.70138888889</x:v>
      </x:c>
      <x:c r="G56" s="33" t="n">
        <x:v>200000</x:v>
      </x:c>
      <x:c r="H56" s="31" t="n">
        <x:v>0</x:v>
      </x:c>
      <x:c r="I56" s="31" t="n">
        <x:v>5</x:v>
      </x:c>
      <x:c r="J56" s="31" t="str">
        <x:v>Positive</x:v>
      </x:c>
      <x:c r="K56" s="31" t="str">
        <x:v>None</x:v>
      </x:c>
      <x:c r="L56" s="31" t="str">
        <x:v>Customer reports a clear and helpful resolution.</x:v>
      </x:c>
      <x:c r="M56" s="15" t="n">
        <x:f>ROUND(((NETWORKDAYS(INT(C56),INT(D56),Guide!$E$5:$E$30)-1)*(Guide!$B$8-Guide!$B$7)+MOD(D56,1)-MOD(C56,1))*1440,2)</x:f>
        <x:v>5</x:v>
      </x:c>
      <x:c r="N56" s="14" t="n">
        <x:f>IF(M56&lt;=Guide!$B$6,1,0)</x:f>
        <x:v>1</x:v>
      </x:c>
      <x:c r="O56" s="14" t="n">
        <x:f>NETWORKDAYS(INT(C56),INT(E56),Guide!$E$5:$E$30)-1</x:f>
        <x:v>0</x:v>
      </x:c>
      <x:c r="P56" s="15" t="n">
        <x:f>(F56-C56)*24</x:f>
        <x:v>5.666666666627862</x:v>
      </x:c>
      <x:c r="Q56" s="15" t="n">
        <x:f>ROUND(((NETWORKDAYS(INT(E56),INT(F56),Guide!$E$5:$E$30)-1)*(Guide!$B$8-Guide!$B$7)+MOD(F56,1)-MOD(E56,1))*1440,2)</x:f>
        <x:v>275</x:v>
      </x:c>
      <x:c r="R56" s="14" t="n">
        <x:f>IF(INT(C56)=INT(F56),1,0)</x:f>
        <x:v>1</x:v>
      </x:c>
      <x:c r="S56" s="34" t="n">
        <x:f>WORKDAY(INT(C56),Guide!$B$5,Guide!$E$5:$E$30)+Guide!$B$8</x:f>
        <x:v>45817.708333333336</x:v>
      </x:c>
      <x:c r="T56" s="14" t="n">
        <x:f>IF(F56&lt;=S56,1,0)</x:f>
        <x:v>1</x:v>
      </x:c>
      <x:c r="U56" s="14" t="n">
        <x:f>IF(I56="","",IF(I56&lt;=Guide!$B$11,1,0))</x:f>
        <x:v>0</x:v>
      </x:c>
      <x:c r="V56" s="14" t="n">
        <x:f>IF(OR(N56=0,H56=1,U56=1),1,0)</x:f>
        <x:v>0</x:v>
      </x:c>
    </x:row>
    <x:row r="57" ht="25" customHeight="1">
      <x:c r="A57" s="31" t="str">
        <x:v>CASE-06-002</x:v>
      </x:c>
      <x:c r="B57" s="31" t="str">
        <x:v>EMP-01</x:v>
      </x:c>
      <x:c r="C57" s="32" t="n">
        <x:v>45811.69097222222</x:v>
      </x:c>
      <x:c r="D57" s="32" t="n">
        <x:v>45812.35763888889</x:v>
      </x:c>
      <x:c r="E57" s="32" t="n">
        <x:v>45812.395833333336</x:v>
      </x:c>
      <x:c r="F57" s="32" t="n">
        <x:v>45812.70138888889</x:v>
      </x:c>
      <x:c r="G57" s="33" t="n">
        <x:v>100000</x:v>
      </x:c>
      <x:c r="H57" s="31" t="n">
        <x:v>1</x:v>
      </x:c>
      <x:c r="I57" s="31" t="n">
        <x:v>2</x:v>
      </x:c>
      <x:c r="J57" s="31" t="str">
        <x:v>Service explanation</x:v>
      </x:c>
      <x:c r="K57" s="31" t="str">
        <x:v>Employee</x:v>
      </x:c>
      <x:c r="L57" s="31" t="str">
        <x:v>Customer requests a clearer explanation.</x:v>
      </x:c>
      <x:c r="M57" s="15" t="n">
        <x:f>ROUND(((NETWORKDAYS(INT(C57),INT(D57),Guide!$E$5:$E$30)-1)*(Guide!$B$8-Guide!$B$7)+MOD(D57,1)-MOD(C57,1))*1440,2)</x:f>
        <x:v>60</x:v>
      </x:c>
      <x:c r="N57" s="14" t="n">
        <x:f>IF(M57&lt;=Guide!$B$6,1,0)</x:f>
        <x:v>0</x:v>
      </x:c>
      <x:c r="O57" s="14" t="n">
        <x:f>NETWORKDAYS(INT(C57),INT(E57),Guide!$E$5:$E$30)-1</x:f>
        <x:v>1</x:v>
      </x:c>
      <x:c r="P57" s="15" t="n">
        <x:f>(F57-C57)*24</x:f>
        <x:v>24.250000000116415</x:v>
      </x:c>
      <x:c r="Q57" s="15" t="n">
        <x:f>ROUND(((NETWORKDAYS(INT(E57),INT(F57),Guide!$E$5:$E$30)-1)*(Guide!$B$8-Guide!$B$7)+MOD(F57,1)-MOD(E57,1))*1440,2)</x:f>
        <x:v>440</x:v>
      </x:c>
      <x:c r="R57" s="14" t="n">
        <x:f>IF(INT(C57)=INT(F57),1,0)</x:f>
        <x:v>0</x:v>
      </x:c>
      <x:c r="S57" s="34" t="n">
        <x:f>WORKDAY(INT(C57),Guide!$B$5,Guide!$E$5:$E$30)+Guide!$B$8</x:f>
        <x:v>45818.708333333336</x:v>
      </x:c>
      <x:c r="T57" s="14" t="n">
        <x:f>IF(F57&lt;=S57,1,0)</x:f>
        <x:v>1</x:v>
      </x:c>
      <x:c r="U57" s="14" t="n">
        <x:f>IF(I57="","",IF(I57&lt;=Guide!$B$11,1,0))</x:f>
        <x:v>1</x:v>
      </x:c>
      <x:c r="V57" s="14" t="n">
        <x:f>IF(OR(N57=0,H57=1,U57=1),1,0)</x:f>
        <x:v>1</x:v>
      </x:c>
    </x:row>
    <x:row r="58" ht="25" customHeight="1">
      <x:c r="A58" s="31" t="str">
        <x:v>CASE-06-003</x:v>
      </x:c>
      <x:c r="B58" s="31" t="str">
        <x:v>EMP-01</x:v>
      </x:c>
      <x:c r="C58" s="32" t="n">
        <x:v>45814.38888888889</x:v>
      </x:c>
      <x:c r="D58" s="32" t="n">
        <x:v>45814.399305555555</x:v>
      </x:c>
      <x:c r="E58" s="32" t="n">
        <x:v>45814.44097222222</x:v>
      </x:c>
      <x:c r="F58" s="32" t="n">
        <x:v>45814.70138888889</x:v>
      </x:c>
      <x:c r="G58" s="33" t="n">
        <x:v>2000000</x:v>
      </x:c>
      <x:c r="H58" s="31" t="n">
        <x:v>0</x:v>
      </x:c>
      <x:c r="I58" s="31" t="n">
        <x:v>5</x:v>
      </x:c>
      <x:c r="J58" s="31" t="str">
        <x:v>Positive</x:v>
      </x:c>
      <x:c r="K58" s="31" t="str">
        <x:v>None</x:v>
      </x:c>
      <x:c r="L58" s="31" t="str">
        <x:v>Customer reports a clear and helpful resolution.</x:v>
      </x:c>
      <x:c r="M58" s="15" t="n">
        <x:f>ROUND(((NETWORKDAYS(INT(C58),INT(D58),Guide!$E$5:$E$30)-1)*(Guide!$B$8-Guide!$B$7)+MOD(D58,1)-MOD(C58,1))*1440,2)</x:f>
        <x:v>15</x:v>
      </x:c>
      <x:c r="N58" s="14" t="n">
        <x:f>IF(M58&lt;=Guide!$B$6,1,0)</x:f>
        <x:v>1</x:v>
      </x:c>
      <x:c r="O58" s="14" t="n">
        <x:f>NETWORKDAYS(INT(C58),INT(E58),Guide!$E$5:$E$30)-1</x:f>
        <x:v>0</x:v>
      </x:c>
      <x:c r="P58" s="15" t="n">
        <x:f>(F58-C58)*24</x:f>
        <x:v>7.5</x:v>
      </x:c>
      <x:c r="Q58" s="15" t="n">
        <x:f>ROUND(((NETWORKDAYS(INT(E58),INT(F58),Guide!$E$5:$E$30)-1)*(Guide!$B$8-Guide!$B$7)+MOD(F58,1)-MOD(E58,1))*1440,2)</x:f>
        <x:v>375</x:v>
      </x:c>
      <x:c r="R58" s="14" t="n">
        <x:f>IF(INT(C58)=INT(F58),1,0)</x:f>
        <x:v>1</x:v>
      </x:c>
      <x:c r="S58" s="34" t="n">
        <x:f>WORKDAY(INT(C58),Guide!$B$5,Guide!$E$5:$E$30)+Guide!$B$8</x:f>
        <x:v>45821.708333333336</x:v>
      </x:c>
      <x:c r="T58" s="14" t="n">
        <x:f>IF(F58&lt;=S58,1,0)</x:f>
        <x:v>1</x:v>
      </x:c>
      <x:c r="U58" s="14" t="n">
        <x:f>IF(I58="","",IF(I58&lt;=Guide!$B$11,1,0))</x:f>
        <x:v>0</x:v>
      </x:c>
      <x:c r="V58" s="14" t="n">
        <x:f>IF(OR(N58=0,H58=1,U58=1),1,0)</x:f>
        <x:v>0</x:v>
      </x:c>
    </x:row>
    <x:row r="59" ht="25" customHeight="1">
      <x:c r="A59" s="31" t="str">
        <x:v>CASE-06-004</x:v>
      </x:c>
      <x:c r="B59" s="31" t="str">
        <x:v>EMP-01</x:v>
      </x:c>
      <x:c r="C59" s="32" t="n">
        <x:v>45817.46527777778</x:v>
      </x:c>
      <x:c r="D59" s="32" t="n">
        <x:v>45817.48263888889</x:v>
      </x:c>
      <x:c r="E59" s="32" t="n">
        <x:v>45817.524305555555</x:v>
      </x:c>
      <x:c r="F59" s="32" t="n">
        <x:v>45817.70138888889</x:v>
      </x:c>
      <x:c r="G59" s="33" t="n">
        <x:v>1000000</x:v>
      </x:c>
      <x:c r="H59" s="31" t="n">
        <x:v>0</x:v>
      </x:c>
      <x:c r="I59" s="31" t="n">
        <x:v>4</x:v>
      </x:c>
      <x:c r="J59" s="31" t="str">
        <x:v>Positive</x:v>
      </x:c>
      <x:c r="K59" s="31" t="str">
        <x:v>None</x:v>
      </x:c>
      <x:c r="L59" s="31" t="str">
        <x:v>Customer reports a clear and helpful resolution.</x:v>
      </x:c>
      <x:c r="M59" s="15" t="n">
        <x:f>ROUND(((NETWORKDAYS(INT(C59),INT(D59),Guide!$E$5:$E$30)-1)*(Guide!$B$8-Guide!$B$7)+MOD(D59,1)-MOD(C59,1))*1440,2)</x:f>
        <x:v>25</x:v>
      </x:c>
      <x:c r="N59" s="14" t="n">
        <x:f>IF(M59&lt;=Guide!$B$6,1,0)</x:f>
        <x:v>1</x:v>
      </x:c>
      <x:c r="O59" s="14" t="n">
        <x:f>NETWORKDAYS(INT(C59),INT(E59),Guide!$E$5:$E$30)-1</x:f>
        <x:v>0</x:v>
      </x:c>
      <x:c r="P59" s="15" t="n">
        <x:f>(F59-C59)*24</x:f>
        <x:v>5.666666666627862</x:v>
      </x:c>
      <x:c r="Q59" s="15" t="n">
        <x:f>ROUND(((NETWORKDAYS(INT(E59),INT(F59),Guide!$E$5:$E$30)-1)*(Guide!$B$8-Guide!$B$7)+MOD(F59,1)-MOD(E59,1))*1440,2)</x:f>
        <x:v>255</x:v>
      </x:c>
      <x:c r="R59" s="14" t="n">
        <x:f>IF(INT(C59)=INT(F59),1,0)</x:f>
        <x:v>1</x:v>
      </x:c>
      <x:c r="S59" s="34" t="n">
        <x:f>WORKDAY(INT(C59),Guide!$B$5,Guide!$E$5:$E$30)+Guide!$B$8</x:f>
        <x:v>45824.708333333336</x:v>
      </x:c>
      <x:c r="T59" s="14" t="n">
        <x:f>IF(F59&lt;=S59,1,0)</x:f>
        <x:v>1</x:v>
      </x:c>
      <x:c r="U59" s="14" t="n">
        <x:f>IF(I59="","",IF(I59&lt;=Guide!$B$11,1,0))</x:f>
        <x:v>0</x:v>
      </x:c>
      <x:c r="V59" s="14" t="n">
        <x:f>IF(OR(N59=0,H59=1,U59=1),1,0)</x:f>
        <x:v>0</x:v>
      </x:c>
    </x:row>
    <x:row r="60" ht="25" customHeight="1">
      <x:c r="A60" s="31" t="str">
        <x:v>CASE-06-005</x:v>
      </x:c>
      <x:c r="B60" s="31" t="str">
        <x:v>EMP-01</x:v>
      </x:c>
      <x:c r="C60" s="32" t="n">
        <x:v>45818.416666666664</x:v>
      </x:c>
      <x:c r="D60" s="32" t="n">
        <x:v>45818.43402777778</x:v>
      </x:c>
      <x:c r="E60" s="32" t="n">
        <x:v>45818.475694444445</x:v>
      </x:c>
      <x:c r="F60" s="32" t="n">
        <x:v>45818.70138888889</x:v>
      </x:c>
      <x:c r="G60" s="33" t="n">
        <x:v>2000000</x:v>
      </x:c>
      <x:c r="H60" s="31" t="n">
        <x:v>0</x:v>
      </x:c>
      <x:c r="I60" s="31"/>
      <x:c r="J60" s="31" t="str">
        <x:v>No feedback</x:v>
      </x:c>
      <x:c r="K60" s="31" t="str">
        <x:v>Not assessed</x:v>
      </x:c>
      <x:c r="L60" s="31" t="str">
        <x:v>No survey response.</x:v>
      </x:c>
      <x:c r="M60" s="15" t="n">
        <x:f>ROUND(((NETWORKDAYS(INT(C60),INT(D60),Guide!$E$5:$E$30)-1)*(Guide!$B$8-Guide!$B$7)+MOD(D60,1)-MOD(C60,1))*1440,2)</x:f>
        <x:v>25</x:v>
      </x:c>
      <x:c r="N60" s="14" t="n">
        <x:f>IF(M60&lt;=Guide!$B$6,1,0)</x:f>
        <x:v>1</x:v>
      </x:c>
      <x:c r="O60" s="14" t="n">
        <x:f>NETWORKDAYS(INT(C60),INT(E60),Guide!$E$5:$E$30)-1</x:f>
        <x:v>0</x:v>
      </x:c>
      <x:c r="P60" s="15" t="n">
        <x:f>(F60-C60)*24</x:f>
        <x:v>6.833333333430346</x:v>
      </x:c>
      <x:c r="Q60" s="15" t="n">
        <x:f>ROUND(((NETWORKDAYS(INT(E60),INT(F60),Guide!$E$5:$E$30)-1)*(Guide!$B$8-Guide!$B$7)+MOD(F60,1)-MOD(E60,1))*1440,2)</x:f>
        <x:v>325</x:v>
      </x:c>
      <x:c r="R60" s="14" t="n">
        <x:f>IF(INT(C60)=INT(F60),1,0)</x:f>
        <x:v>1</x:v>
      </x:c>
      <x:c r="S60" s="34" t="n">
        <x:f>WORKDAY(INT(C60),Guide!$B$5,Guide!$E$5:$E$30)+Guide!$B$8</x:f>
        <x:v>45825.708333333336</x:v>
      </x:c>
      <x:c r="T60" s="14" t="n">
        <x:f>IF(F60&lt;=S60,1,0)</x:f>
        <x:v>1</x:v>
      </x:c>
      <x:c r="U60" s="14" t="str">
        <x:f>IF(I60="","",IF(I60&lt;=Guide!$B$11,1,0))</x:f>
      </x:c>
      <x:c r="V60" s="14" t="n">
        <x:f>IF(OR(N60=0,H60=1,U60=1),1,0)</x:f>
        <x:v>0</x:v>
      </x:c>
    </x:row>
    <x:row r="61" ht="25" customHeight="1">
      <x:c r="A61" s="31" t="str">
        <x:v>CASE-06-006</x:v>
      </x:c>
      <x:c r="B61" s="31" t="str">
        <x:v>EMP-01</x:v>
      </x:c>
      <x:c r="C61" s="32" t="n">
        <x:v>45821.555555555555</x:v>
      </x:c>
      <x:c r="D61" s="32" t="n">
        <x:v>45821.572916666664</x:v>
      </x:c>
      <x:c r="E61" s="32" t="n">
        <x:v>45821.59375</x:v>
      </x:c>
      <x:c r="F61" s="32" t="n">
        <x:v>45821.70138888889</x:v>
      </x:c>
      <x:c r="G61" s="33" t="n">
        <x:v>5000000</x:v>
      </x:c>
      <x:c r="H61" s="31" t="n">
        <x:v>0</x:v>
      </x:c>
      <x:c r="I61" s="31" t="n">
        <x:v>5</x:v>
      </x:c>
      <x:c r="J61" s="31" t="str">
        <x:v>Positive</x:v>
      </x:c>
      <x:c r="K61" s="31" t="str">
        <x:v>None</x:v>
      </x:c>
      <x:c r="L61" s="31" t="str">
        <x:v>Customer reports a clear and helpful resolution.</x:v>
      </x:c>
      <x:c r="M61" s="15" t="n">
        <x:f>ROUND(((NETWORKDAYS(INT(C61),INT(D61),Guide!$E$5:$E$30)-1)*(Guide!$B$8-Guide!$B$7)+MOD(D61,1)-MOD(C61,1))*1440,2)</x:f>
        <x:v>25</x:v>
      </x:c>
      <x:c r="N61" s="14" t="n">
        <x:f>IF(M61&lt;=Guide!$B$6,1,0)</x:f>
        <x:v>1</x:v>
      </x:c>
      <x:c r="O61" s="14" t="n">
        <x:f>NETWORKDAYS(INT(C61),INT(E61),Guide!$E$5:$E$30)-1</x:f>
        <x:v>0</x:v>
      </x:c>
      <x:c r="P61" s="15" t="n">
        <x:f>(F61-C61)*24</x:f>
        <x:v>3.5000000000582077</x:v>
      </x:c>
      <x:c r="Q61" s="15" t="n">
        <x:f>ROUND(((NETWORKDAYS(INT(E61),INT(F61),Guide!$E$5:$E$30)-1)*(Guide!$B$8-Guide!$B$7)+MOD(F61,1)-MOD(E61,1))*1440,2)</x:f>
        <x:v>155</x:v>
      </x:c>
      <x:c r="R61" s="14" t="n">
        <x:f>IF(INT(C61)=INT(F61),1,0)</x:f>
        <x:v>1</x:v>
      </x:c>
      <x:c r="S61" s="34" t="n">
        <x:f>WORKDAY(INT(C61),Guide!$B$5,Guide!$E$5:$E$30)+Guide!$B$8</x:f>
        <x:v>45828.708333333336</x:v>
      </x:c>
      <x:c r="T61" s="14" t="n">
        <x:f>IF(F61&lt;=S61,1,0)</x:f>
        <x:v>1</x:v>
      </x:c>
      <x:c r="U61" s="14" t="n">
        <x:f>IF(I61="","",IF(I61&lt;=Guide!$B$11,1,0))</x:f>
        <x:v>0</x:v>
      </x:c>
      <x:c r="V61" s="14" t="n">
        <x:f>IF(OR(N61=0,H61=1,U61=1),1,0)</x:f>
        <x:v>0</x:v>
      </x:c>
    </x:row>
    <x:row r="62" ht="25" customHeight="1">
      <x:c r="A62" s="31" t="str">
        <x:v>CASE-06-007</x:v>
      </x:c>
      <x:c r="B62" s="31" t="str">
        <x:v>EMP-01</x:v>
      </x:c>
      <x:c r="C62" s="32" t="n">
        <x:v>45825.479166666664</x:v>
      </x:c>
      <x:c r="D62" s="32" t="n">
        <x:v>45825.5</x:v>
      </x:c>
      <x:c r="E62" s="32" t="n">
        <x:v>45825.520833333336</x:v>
      </x:c>
      <x:c r="F62" s="32" t="n">
        <x:v>45825.70138888889</x:v>
      </x:c>
      <x:c r="G62" s="33" t="n">
        <x:v>1000000</x:v>
      </x:c>
      <x:c r="H62" s="31" t="n">
        <x:v>0</x:v>
      </x:c>
      <x:c r="I62" s="31" t="n">
        <x:v>5</x:v>
      </x:c>
      <x:c r="J62" s="31" t="str">
        <x:v>Positive</x:v>
      </x:c>
      <x:c r="K62" s="31" t="str">
        <x:v>None</x:v>
      </x:c>
      <x:c r="L62" s="31" t="str">
        <x:v>Customer reports a clear and helpful resolution.</x:v>
      </x:c>
      <x:c r="M62" s="15" t="n">
        <x:f>ROUND(((NETWORKDAYS(INT(C62),INT(D62),Guide!$E$5:$E$30)-1)*(Guide!$B$8-Guide!$B$7)+MOD(D62,1)-MOD(C62,1))*1440,2)</x:f>
        <x:v>30</x:v>
      </x:c>
      <x:c r="N62" s="14" t="n">
        <x:f>IF(M62&lt;=Guide!$B$6,1,0)</x:f>
        <x:v>1</x:v>
      </x:c>
      <x:c r="O62" s="14" t="n">
        <x:f>NETWORKDAYS(INT(C62),INT(E62),Guide!$E$5:$E$30)-1</x:f>
        <x:v>0</x:v>
      </x:c>
      <x:c r="P62" s="15" t="n">
        <x:f>(F62-C62)*24</x:f>
        <x:v>5.333333333430346</x:v>
      </x:c>
      <x:c r="Q62" s="15" t="n">
        <x:f>ROUND(((NETWORKDAYS(INT(E62),INT(F62),Guide!$E$5:$E$30)-1)*(Guide!$B$8-Guide!$B$7)+MOD(F62,1)-MOD(E62,1))*1440,2)</x:f>
        <x:v>260</x:v>
      </x:c>
      <x:c r="R62" s="14" t="n">
        <x:f>IF(INT(C62)=INT(F62),1,0)</x:f>
        <x:v>1</x:v>
      </x:c>
      <x:c r="S62" s="34" t="n">
        <x:f>WORKDAY(INT(C62),Guide!$B$5,Guide!$E$5:$E$30)+Guide!$B$8</x:f>
        <x:v>45832.708333333336</x:v>
      </x:c>
      <x:c r="T62" s="14" t="n">
        <x:f>IF(F62&lt;=S62,1,0)</x:f>
        <x:v>1</x:v>
      </x:c>
      <x:c r="U62" s="14" t="n">
        <x:f>IF(I62="","",IF(I62&lt;=Guide!$B$11,1,0))</x:f>
        <x:v>0</x:v>
      </x:c>
      <x:c r="V62" s="14" t="n">
        <x:f>IF(OR(N62=0,H62=1,U62=1),1,0)</x:f>
        <x:v>0</x:v>
      </x:c>
    </x:row>
    <x:row r="63" ht="25" customHeight="1">
      <x:c r="A63" s="31" t="str">
        <x:v>CASE-06-008</x:v>
      </x:c>
      <x:c r="B63" s="31" t="str">
        <x:v>EMP-01</x:v>
      </x:c>
      <x:c r="C63" s="32" t="n">
        <x:v>45827.69097222222</x:v>
      </x:c>
      <x:c r="D63" s="32" t="n">
        <x:v>45828.336805555555</x:v>
      </x:c>
      <x:c r="E63" s="32" t="n">
        <x:v>45828.395833333336</x:v>
      </x:c>
      <x:c r="F63" s="32" t="n">
        <x:v>45828.70138888889</x:v>
      </x:c>
      <x:c r="G63" s="33" t="n">
        <x:v>2000000</x:v>
      </x:c>
      <x:c r="H63" s="31" t="n">
        <x:v>0</x:v>
      </x:c>
      <x:c r="I63" s="31" t="n">
        <x:v>5</x:v>
      </x:c>
      <x:c r="J63" s="31" t="str">
        <x:v>Positive</x:v>
      </x:c>
      <x:c r="K63" s="31" t="str">
        <x:v>None</x:v>
      </x:c>
      <x:c r="L63" s="31" t="str">
        <x:v>Customer reports a clear and helpful resolution.</x:v>
      </x:c>
      <x:c r="M63" s="15" t="n">
        <x:f>ROUND(((NETWORKDAYS(INT(C63),INT(D63),Guide!$E$5:$E$30)-1)*(Guide!$B$8-Guide!$B$7)+MOD(D63,1)-MOD(C63,1))*1440,2)</x:f>
        <x:v>30</x:v>
      </x:c>
      <x:c r="N63" s="14" t="n">
        <x:f>IF(M63&lt;=Guide!$B$6,1,0)</x:f>
        <x:v>1</x:v>
      </x:c>
      <x:c r="O63" s="14" t="n">
        <x:f>NETWORKDAYS(INT(C63),INT(E63),Guide!$E$5:$E$30)-1</x:f>
        <x:v>1</x:v>
      </x:c>
      <x:c r="P63" s="15" t="n">
        <x:f>(F63-C63)*24</x:f>
        <x:v>24.250000000116415</x:v>
      </x:c>
      <x:c r="Q63" s="15" t="n">
        <x:f>ROUND(((NETWORKDAYS(INT(E63),INT(F63),Guide!$E$5:$E$30)-1)*(Guide!$B$8-Guide!$B$7)+MOD(F63,1)-MOD(E63,1))*1440,2)</x:f>
        <x:v>440</x:v>
      </x:c>
      <x:c r="R63" s="14" t="n">
        <x:f>IF(INT(C63)=INT(F63),1,0)</x:f>
        <x:v>0</x:v>
      </x:c>
      <x:c r="S63" s="34" t="n">
        <x:f>WORKDAY(INT(C63),Guide!$B$5,Guide!$E$5:$E$30)+Guide!$B$8</x:f>
        <x:v>45834.708333333336</x:v>
      </x:c>
      <x:c r="T63" s="14" t="n">
        <x:f>IF(F63&lt;=S63,1,0)</x:f>
        <x:v>1</x:v>
      </x:c>
      <x:c r="U63" s="14" t="n">
        <x:f>IF(I63="","",IF(I63&lt;=Guide!$B$11,1,0))</x:f>
        <x:v>0</x:v>
      </x:c>
      <x:c r="V63" s="14" t="n">
        <x:f>IF(OR(N63=0,H63=1,U63=1),1,0)</x:f>
        <x:v>0</x:v>
      </x:c>
    </x:row>
    <x:row r="64" ht="25" customHeight="1">
      <x:c r="A64" s="31" t="str">
        <x:v>CASE-06-009</x:v>
      </x:c>
      <x:c r="B64" s="31" t="str">
        <x:v>EMP-01</x:v>
      </x:c>
      <x:c r="C64" s="32" t="n">
        <x:v>45831.5625</x:v>
      </x:c>
      <x:c r="D64" s="32" t="n">
        <x:v>45831.569444444445</x:v>
      </x:c>
      <x:c r="E64" s="32" t="n">
        <x:v>45831.61111111111</x:v>
      </x:c>
      <x:c r="F64" s="32" t="n">
        <x:v>45831.70138888889</x:v>
      </x:c>
      <x:c r="G64" s="33" t="n">
        <x:v>500000</x:v>
      </x:c>
      <x:c r="H64" s="31" t="n">
        <x:v>0</x:v>
      </x:c>
      <x:c r="I64" s="31" t="n">
        <x:v>5</x:v>
      </x:c>
      <x:c r="J64" s="31" t="str">
        <x:v>Positive</x:v>
      </x:c>
      <x:c r="K64" s="31" t="str">
        <x:v>None</x:v>
      </x:c>
      <x:c r="L64" s="31" t="str">
        <x:v>Customer reports a clear and helpful resolution.</x:v>
      </x:c>
      <x:c r="M64" s="15" t="n">
        <x:f>ROUND(((NETWORKDAYS(INT(C64),INT(D64),Guide!$E$5:$E$30)-1)*(Guide!$B$8-Guide!$B$7)+MOD(D64,1)-MOD(C64,1))*1440,2)</x:f>
        <x:v>10</x:v>
      </x:c>
      <x:c r="N64" s="14" t="n">
        <x:f>IF(M64&lt;=Guide!$B$6,1,0)</x:f>
        <x:v>1</x:v>
      </x:c>
      <x:c r="O64" s="14" t="n">
        <x:f>NETWORKDAYS(INT(C64),INT(E64),Guide!$E$5:$E$30)-1</x:f>
        <x:v>0</x:v>
      </x:c>
      <x:c r="P64" s="15" t="n">
        <x:f>(F64-C64)*24</x:f>
        <x:v>3.3333333333721384</x:v>
      </x:c>
      <x:c r="Q64" s="15" t="n">
        <x:f>ROUND(((NETWORKDAYS(INT(E64),INT(F64),Guide!$E$5:$E$30)-1)*(Guide!$B$8-Guide!$B$7)+MOD(F64,1)-MOD(E64,1))*1440,2)</x:f>
        <x:v>130</x:v>
      </x:c>
      <x:c r="R64" s="14" t="n">
        <x:f>IF(INT(C64)=INT(F64),1,0)</x:f>
        <x:v>1</x:v>
      </x:c>
      <x:c r="S64" s="34" t="n">
        <x:f>WORKDAY(INT(C64),Guide!$B$5,Guide!$E$5:$E$30)+Guide!$B$8</x:f>
        <x:v>45838.708333333336</x:v>
      </x:c>
      <x:c r="T64" s="14" t="n">
        <x:f>IF(F64&lt;=S64,1,0)</x:f>
        <x:v>1</x:v>
      </x:c>
      <x:c r="U64" s="14" t="n">
        <x:f>IF(I64="","",IF(I64&lt;=Guide!$B$11,1,0))</x:f>
        <x:v>0</x:v>
      </x:c>
      <x:c r="V64" s="14" t="n">
        <x:f>IF(OR(N64=0,H64=1,U64=1),1,0)</x:f>
        <x:v>0</x:v>
      </x:c>
    </x:row>
    <x:row r="65" ht="25" customHeight="1">
      <x:c r="A65" s="31" t="str">
        <x:v>CASE-06-010</x:v>
      </x:c>
      <x:c r="B65" s="31" t="str">
        <x:v>EMP-01</x:v>
      </x:c>
      <x:c r="C65" s="32" t="n">
        <x:v>45832.54861111111</x:v>
      </x:c>
      <x:c r="D65" s="32" t="n">
        <x:v>45832.569444444445</x:v>
      </x:c>
      <x:c r="E65" s="32" t="n">
        <x:v>45832.61111111111</x:v>
      </x:c>
      <x:c r="F65" s="32" t="n">
        <x:v>45832.70138888889</x:v>
      </x:c>
      <x:c r="G65" s="33" t="n">
        <x:v>500000</x:v>
      </x:c>
      <x:c r="H65" s="31" t="n">
        <x:v>0</x:v>
      </x:c>
      <x:c r="I65" s="31"/>
      <x:c r="J65" s="31" t="str">
        <x:v>No feedback</x:v>
      </x:c>
      <x:c r="K65" s="31" t="str">
        <x:v>Not assessed</x:v>
      </x:c>
      <x:c r="L65" s="31" t="str">
        <x:v>No survey response.</x:v>
      </x:c>
      <x:c r="M65" s="15" t="n">
        <x:f>ROUND(((NETWORKDAYS(INT(C65),INT(D65),Guide!$E$5:$E$30)-1)*(Guide!$B$8-Guide!$B$7)+MOD(D65,1)-MOD(C65,1))*1440,2)</x:f>
        <x:v>30</x:v>
      </x:c>
      <x:c r="N65" s="14" t="n">
        <x:f>IF(M65&lt;=Guide!$B$6,1,0)</x:f>
        <x:v>1</x:v>
      </x:c>
      <x:c r="O65" s="14" t="n">
        <x:f>NETWORKDAYS(INT(C65),INT(E65),Guide!$E$5:$E$30)-1</x:f>
        <x:v>0</x:v>
      </x:c>
      <x:c r="P65" s="15" t="n">
        <x:f>(F65-C65)*24</x:f>
        <x:v>3.666666666744277</x:v>
      </x:c>
      <x:c r="Q65" s="15" t="n">
        <x:f>ROUND(((NETWORKDAYS(INT(E65),INT(F65),Guide!$E$5:$E$30)-1)*(Guide!$B$8-Guide!$B$7)+MOD(F65,1)-MOD(E65,1))*1440,2)</x:f>
        <x:v>130</x:v>
      </x:c>
      <x:c r="R65" s="14" t="n">
        <x:f>IF(INT(C65)=INT(F65),1,0)</x:f>
        <x:v>1</x:v>
      </x:c>
      <x:c r="S65" s="34" t="n">
        <x:f>WORKDAY(INT(C65),Guide!$B$5,Guide!$E$5:$E$30)+Guide!$B$8</x:f>
        <x:v>45839.708333333336</x:v>
      </x:c>
      <x:c r="T65" s="14" t="n">
        <x:f>IF(F65&lt;=S65,1,0)</x:f>
        <x:v>1</x:v>
      </x:c>
      <x:c r="U65" s="14" t="str">
        <x:f>IF(I65="","",IF(I65&lt;=Guide!$B$11,1,0))</x:f>
      </x:c>
      <x:c r="V65" s="14" t="n">
        <x:f>IF(OR(N65=0,H65=1,U65=1),1,0)</x:f>
        <x:v>0</x:v>
      </x:c>
    </x:row>
    <x:row r="66" ht="25" customHeight="1">
      <x:c r="A66" s="31" t="str">
        <x:v>CASE-07-001</x:v>
      </x:c>
      <x:c r="B66" s="31" t="str">
        <x:v>EMP-01</x:v>
      </x:c>
      <x:c r="C66" s="32" t="n">
        <x:v>45841.395833333336</x:v>
      </x:c>
      <x:c r="D66" s="32" t="n">
        <x:v>45841.40625</x:v>
      </x:c>
      <x:c r="E66" s="32" t="n">
        <x:v>45841.447916666664</x:v>
      </x:c>
      <x:c r="F66" s="32" t="n">
        <x:v>45841.70138888889</x:v>
      </x:c>
      <x:c r="G66" s="33" t="n">
        <x:v>1000000</x:v>
      </x:c>
      <x:c r="H66" s="31" t="n">
        <x:v>0</x:v>
      </x:c>
      <x:c r="I66" s="31" t="n">
        <x:v>4</x:v>
      </x:c>
      <x:c r="J66" s="31" t="str">
        <x:v>Positive</x:v>
      </x:c>
      <x:c r="K66" s="31" t="str">
        <x:v>None</x:v>
      </x:c>
      <x:c r="L66" s="31" t="str">
        <x:v>Customer reports a clear and helpful resolution.</x:v>
      </x:c>
      <x:c r="M66" s="15" t="n">
        <x:f>ROUND(((NETWORKDAYS(INT(C66),INT(D66),Guide!$E$5:$E$30)-1)*(Guide!$B$8-Guide!$B$7)+MOD(D66,1)-MOD(C66,1))*1440,2)</x:f>
        <x:v>15</x:v>
      </x:c>
      <x:c r="N66" s="14" t="n">
        <x:f>IF(M66&lt;=Guide!$B$6,1,0)</x:f>
        <x:v>1</x:v>
      </x:c>
      <x:c r="O66" s="14" t="n">
        <x:f>NETWORKDAYS(INT(C66),INT(E66),Guide!$E$5:$E$30)-1</x:f>
        <x:v>0</x:v>
      </x:c>
      <x:c r="P66" s="15" t="n">
        <x:f>(F66-C66)*24</x:f>
        <x:v>7.333333333313931</x:v>
      </x:c>
      <x:c r="Q66" s="15" t="n">
        <x:f>ROUND(((NETWORKDAYS(INT(E66),INT(F66),Guide!$E$5:$E$30)-1)*(Guide!$B$8-Guide!$B$7)+MOD(F66,1)-MOD(E66,1))*1440,2)</x:f>
        <x:v>365</x:v>
      </x:c>
      <x:c r="R66" s="14" t="n">
        <x:f>IF(INT(C66)=INT(F66),1,0)</x:f>
        <x:v>1</x:v>
      </x:c>
      <x:c r="S66" s="34" t="n">
        <x:f>WORKDAY(INT(C66),Guide!$B$5,Guide!$E$5:$E$30)+Guide!$B$8</x:f>
        <x:v>45848.708333333336</x:v>
      </x:c>
      <x:c r="T66" s="14" t="n">
        <x:f>IF(F66&lt;=S66,1,0)</x:f>
        <x:v>1</x:v>
      </x:c>
      <x:c r="U66" s="14" t="n">
        <x:f>IF(I66="","",IF(I66&lt;=Guide!$B$11,1,0))</x:f>
        <x:v>0</x:v>
      </x:c>
      <x:c r="V66" s="14" t="n">
        <x:f>IF(OR(N66=0,H66=1,U66=1),1,0)</x:f>
        <x:v>0</x:v>
      </x:c>
    </x:row>
    <x:row r="67" ht="25" customHeight="1">
      <x:c r="A67" s="31" t="str">
        <x:v>CASE-07-002</x:v>
      </x:c>
      <x:c r="B67" s="31" t="str">
        <x:v>EMP-01</x:v>
      </x:c>
      <x:c r="C67" s="32" t="n">
        <x:v>45842.694444444445</x:v>
      </x:c>
      <x:c r="D67" s="32" t="n">
        <x:v>45845.34027777778</x:v>
      </x:c>
      <x:c r="E67" s="32" t="n">
        <x:v>45845.38888888889</x:v>
      </x:c>
      <x:c r="F67" s="32" t="n">
        <x:v>45845.70138888889</x:v>
      </x:c>
      <x:c r="G67" s="33" t="n">
        <x:v>2000000</x:v>
      </x:c>
      <x:c r="H67" s="31" t="n">
        <x:v>0</x:v>
      </x:c>
      <x:c r="I67" s="31" t="n">
        <x:v>4</x:v>
      </x:c>
      <x:c r="J67" s="31" t="str">
        <x:v>Positive</x:v>
      </x:c>
      <x:c r="K67" s="31" t="str">
        <x:v>None</x:v>
      </x:c>
      <x:c r="L67" s="31" t="str">
        <x:v>Customer reports a clear and helpful resolution.</x:v>
      </x:c>
      <x:c r="M67" s="15" t="n">
        <x:f>ROUND(((NETWORKDAYS(INT(C67),INT(D67),Guide!$E$5:$E$30)-1)*(Guide!$B$8-Guide!$B$7)+MOD(D67,1)-MOD(C67,1))*1440,2)</x:f>
        <x:v>30</x:v>
      </x:c>
      <x:c r="N67" s="14" t="n">
        <x:f>IF(M67&lt;=Guide!$B$6,1,0)</x:f>
        <x:v>1</x:v>
      </x:c>
      <x:c r="O67" s="14" t="n">
        <x:f>NETWORKDAYS(INT(C67),INT(E67),Guide!$E$5:$E$30)-1</x:f>
        <x:v>1</x:v>
      </x:c>
      <x:c r="P67" s="15" t="n">
        <x:f>(F67-C67)*24</x:f>
        <x:v>72.16666666668607</x:v>
      </x:c>
      <x:c r="Q67" s="15" t="n">
        <x:f>ROUND(((NETWORKDAYS(INT(E67),INT(F67),Guide!$E$5:$E$30)-1)*(Guide!$B$8-Guide!$B$7)+MOD(F67,1)-MOD(E67,1))*1440,2)</x:f>
        <x:v>450</x:v>
      </x:c>
      <x:c r="R67" s="14" t="n">
        <x:f>IF(INT(C67)=INT(F67),1,0)</x:f>
        <x:v>0</x:v>
      </x:c>
      <x:c r="S67" s="34" t="n">
        <x:f>WORKDAY(INT(C67),Guide!$B$5,Guide!$E$5:$E$30)+Guide!$B$8</x:f>
        <x:v>45849.708333333336</x:v>
      </x:c>
      <x:c r="T67" s="14" t="n">
        <x:f>IF(F67&lt;=S67,1,0)</x:f>
        <x:v>1</x:v>
      </x:c>
      <x:c r="U67" s="14" t="n">
        <x:f>IF(I67="","",IF(I67&lt;=Guide!$B$11,1,0))</x:f>
        <x:v>0</x:v>
      </x:c>
      <x:c r="V67" s="14" t="n">
        <x:f>IF(OR(N67=0,H67=1,U67=1),1,0)</x:f>
        <x:v>0</x:v>
      </x:c>
    </x:row>
    <x:row r="68" ht="25" customHeight="1">
      <x:c r="A68" s="31" t="str">
        <x:v>CASE-07-003</x:v>
      </x:c>
      <x:c r="B68" s="31" t="str">
        <x:v>EMP-01</x:v>
      </x:c>
      <x:c r="C68" s="32" t="n">
        <x:v>45845.59722222222</x:v>
      </x:c>
      <x:c r="D68" s="32" t="n">
        <x:v>45845.600694444445</x:v>
      </x:c>
      <x:c r="E68" s="32" t="n">
        <x:v>45845.62152777778</x:v>
      </x:c>
      <x:c r="F68" s="32" t="n">
        <x:v>45845.70138888889</x:v>
      </x:c>
      <x:c r="G68" s="33" t="n">
        <x:v>2000000</x:v>
      </x:c>
      <x:c r="H68" s="31" t="n">
        <x:v>0</x:v>
      </x:c>
      <x:c r="I68" s="31" t="n">
        <x:v>4</x:v>
      </x:c>
      <x:c r="J68" s="31" t="str">
        <x:v>Positive</x:v>
      </x:c>
      <x:c r="K68" s="31" t="str">
        <x:v>None</x:v>
      </x:c>
      <x:c r="L68" s="31" t="str">
        <x:v>Customer reports a clear and helpful resolution.</x:v>
      </x:c>
      <x:c r="M68" s="15" t="n">
        <x:f>ROUND(((NETWORKDAYS(INT(C68),INT(D68),Guide!$E$5:$E$30)-1)*(Guide!$B$8-Guide!$B$7)+MOD(D68,1)-MOD(C68,1))*1440,2)</x:f>
        <x:v>5</x:v>
      </x:c>
      <x:c r="N68" s="14" t="n">
        <x:f>IF(M68&lt;=Guide!$B$6,1,0)</x:f>
        <x:v>1</x:v>
      </x:c>
      <x:c r="O68" s="14" t="n">
        <x:f>NETWORKDAYS(INT(C68),INT(E68),Guide!$E$5:$E$30)-1</x:f>
        <x:v>0</x:v>
      </x:c>
      <x:c r="P68" s="15" t="n">
        <x:f>(F68-C68)*24</x:f>
        <x:v>2.5000000001164153</x:v>
      </x:c>
      <x:c r="Q68" s="15" t="n">
        <x:f>ROUND(((NETWORKDAYS(INT(E68),INT(F68),Guide!$E$5:$E$30)-1)*(Guide!$B$8-Guide!$B$7)+MOD(F68,1)-MOD(E68,1))*1440,2)</x:f>
        <x:v>115</x:v>
      </x:c>
      <x:c r="R68" s="14" t="n">
        <x:f>IF(INT(C68)=INT(F68),1,0)</x:f>
        <x:v>1</x:v>
      </x:c>
      <x:c r="S68" s="34" t="n">
        <x:f>WORKDAY(INT(C68),Guide!$B$5,Guide!$E$5:$E$30)+Guide!$B$8</x:f>
        <x:v>45852.708333333336</x:v>
      </x:c>
      <x:c r="T68" s="14" t="n">
        <x:f>IF(F68&lt;=S68,1,0)</x:f>
        <x:v>1</x:v>
      </x:c>
      <x:c r="U68" s="14" t="n">
        <x:f>IF(I68="","",IF(I68&lt;=Guide!$B$11,1,0))</x:f>
        <x:v>0</x:v>
      </x:c>
      <x:c r="V68" s="14" t="n">
        <x:f>IF(OR(N68=0,H68=1,U68=1),1,0)</x:f>
        <x:v>0</x:v>
      </x:c>
    </x:row>
    <x:row r="69" ht="25" customHeight="1">
      <x:c r="A69" s="31" t="str">
        <x:v>CASE-07-004</x:v>
      </x:c>
      <x:c r="B69" s="31" t="str">
        <x:v>EMP-01</x:v>
      </x:c>
      <x:c r="C69" s="32" t="n">
        <x:v>45847.4375</x:v>
      </x:c>
      <x:c r="D69" s="32" t="n">
        <x:v>45847.44097222222</x:v>
      </x:c>
      <x:c r="E69" s="32" t="n">
        <x:v>45847.47222222222</x:v>
      </x:c>
      <x:c r="F69" s="32" t="n">
        <x:v>45847.70138888889</x:v>
      </x:c>
      <x:c r="G69" s="33" t="n">
        <x:v>500000</x:v>
      </x:c>
      <x:c r="H69" s="31" t="n">
        <x:v>0</x:v>
      </x:c>
      <x:c r="I69" s="31" t="n">
        <x:v>4</x:v>
      </x:c>
      <x:c r="J69" s="31" t="str">
        <x:v>Positive</x:v>
      </x:c>
      <x:c r="K69" s="31" t="str">
        <x:v>None</x:v>
      </x:c>
      <x:c r="L69" s="31" t="str">
        <x:v>Customer reports a clear and helpful resolution.</x:v>
      </x:c>
      <x:c r="M69" s="15" t="n">
        <x:f>ROUND(((NETWORKDAYS(INT(C69),INT(D69),Guide!$E$5:$E$30)-1)*(Guide!$B$8-Guide!$B$7)+MOD(D69,1)-MOD(C69,1))*1440,2)</x:f>
        <x:v>5</x:v>
      </x:c>
      <x:c r="N69" s="14" t="n">
        <x:f>IF(M69&lt;=Guide!$B$6,1,0)</x:f>
        <x:v>1</x:v>
      </x:c>
      <x:c r="O69" s="14" t="n">
        <x:f>NETWORKDAYS(INT(C69),INT(E69),Guide!$E$5:$E$30)-1</x:f>
        <x:v>0</x:v>
      </x:c>
      <x:c r="P69" s="15" t="n">
        <x:f>(F69-C69)*24</x:f>
        <x:v>6.333333333372138</x:v>
      </x:c>
      <x:c r="Q69" s="15" t="n">
        <x:f>ROUND(((NETWORKDAYS(INT(E69),INT(F69),Guide!$E$5:$E$30)-1)*(Guide!$B$8-Guide!$B$7)+MOD(F69,1)-MOD(E69,1))*1440,2)</x:f>
        <x:v>330</x:v>
      </x:c>
      <x:c r="R69" s="14" t="n">
        <x:f>IF(INT(C69)=INT(F69),1,0)</x:f>
        <x:v>1</x:v>
      </x:c>
      <x:c r="S69" s="34" t="n">
        <x:f>WORKDAY(INT(C69),Guide!$B$5,Guide!$E$5:$E$30)+Guide!$B$8</x:f>
        <x:v>45854.708333333336</x:v>
      </x:c>
      <x:c r="T69" s="14" t="n">
        <x:f>IF(F69&lt;=S69,1,0)</x:f>
        <x:v>1</x:v>
      </x:c>
      <x:c r="U69" s="14" t="n">
        <x:f>IF(I69="","",IF(I69&lt;=Guide!$B$11,1,0))</x:f>
        <x:v>0</x:v>
      </x:c>
      <x:c r="V69" s="14" t="n">
        <x:f>IF(OR(N69=0,H69=1,U69=1),1,0)</x:f>
        <x:v>0</x:v>
      </x:c>
    </x:row>
    <x:row r="70" ht="25" customHeight="1">
      <x:c r="A70" s="31" t="str">
        <x:v>CASE-07-005</x:v>
      </x:c>
      <x:c r="B70" s="31" t="str">
        <x:v>EMP-01</x:v>
      </x:c>
      <x:c r="C70" s="32" t="n">
        <x:v>45849.583333333336</x:v>
      </x:c>
      <x:c r="D70" s="32" t="n">
        <x:v>45849.59375</x:v>
      </x:c>
      <x:c r="E70" s="32" t="n">
        <x:v>45849.60763888889</x:v>
      </x:c>
      <x:c r="F70" s="32" t="n">
        <x:v>45849.70138888889</x:v>
      </x:c>
      <x:c r="G70" s="33" t="n">
        <x:v>200000</x:v>
      </x:c>
      <x:c r="H70" s="31" t="n">
        <x:v>0</x:v>
      </x:c>
      <x:c r="I70" s="31"/>
      <x:c r="J70" s="31" t="str">
        <x:v>No feedback</x:v>
      </x:c>
      <x:c r="K70" s="31" t="str">
        <x:v>Not assessed</x:v>
      </x:c>
      <x:c r="L70" s="31" t="str">
        <x:v>No survey response.</x:v>
      </x:c>
      <x:c r="M70" s="15" t="n">
        <x:f>ROUND(((NETWORKDAYS(INT(C70),INT(D70),Guide!$E$5:$E$30)-1)*(Guide!$B$8-Guide!$B$7)+MOD(D70,1)-MOD(C70,1))*1440,2)</x:f>
        <x:v>15</x:v>
      </x:c>
      <x:c r="N70" s="14" t="n">
        <x:f>IF(M70&lt;=Guide!$B$6,1,0)</x:f>
        <x:v>1</x:v>
      </x:c>
      <x:c r="O70" s="14" t="n">
        <x:f>NETWORKDAYS(INT(C70),INT(E70),Guide!$E$5:$E$30)-1</x:f>
        <x:v>0</x:v>
      </x:c>
      <x:c r="P70" s="15" t="n">
        <x:f>(F70-C70)*24</x:f>
        <x:v>2.833333333313931</x:v>
      </x:c>
      <x:c r="Q70" s="15" t="n">
        <x:f>ROUND(((NETWORKDAYS(INT(E70),INT(F70),Guide!$E$5:$E$30)-1)*(Guide!$B$8-Guide!$B$7)+MOD(F70,1)-MOD(E70,1))*1440,2)</x:f>
        <x:v>135</x:v>
      </x:c>
      <x:c r="R70" s="14" t="n">
        <x:f>IF(INT(C70)=INT(F70),1,0)</x:f>
        <x:v>1</x:v>
      </x:c>
      <x:c r="S70" s="34" t="n">
        <x:f>WORKDAY(INT(C70),Guide!$B$5,Guide!$E$5:$E$30)+Guide!$B$8</x:f>
        <x:v>45856.708333333336</x:v>
      </x:c>
      <x:c r="T70" s="14" t="n">
        <x:f>IF(F70&lt;=S70,1,0)</x:f>
        <x:v>1</x:v>
      </x:c>
      <x:c r="U70" s="14" t="str">
        <x:f>IF(I70="","",IF(I70&lt;=Guide!$B$11,1,0))</x:f>
      </x:c>
      <x:c r="V70" s="14" t="n">
        <x:f>IF(OR(N70=0,H70=1,U70=1),1,0)</x:f>
        <x:v>0</x:v>
      </x:c>
    </x:row>
    <x:row r="71" ht="25" customHeight="1">
      <x:c r="A71" s="31" t="str">
        <x:v>CASE-07-006</x:v>
      </x:c>
      <x:c r="B71" s="31" t="str">
        <x:v>EMP-01</x:v>
      </x:c>
      <x:c r="C71" s="32" t="n">
        <x:v>45852.47222222222</x:v>
      </x:c>
      <x:c r="D71" s="32" t="n">
        <x:v>45852.50347222222</x:v>
      </x:c>
      <x:c r="E71" s="32" t="n">
        <x:v>45852.524305555555</x:v>
      </x:c>
      <x:c r="F71" s="32" t="n">
        <x:v>45852.70138888889</x:v>
      </x:c>
      <x:c r="G71" s="33" t="n">
        <x:v>3000000</x:v>
      </x:c>
      <x:c r="H71" s="31" t="n">
        <x:v>0</x:v>
      </x:c>
      <x:c r="I71" s="31" t="n">
        <x:v>4</x:v>
      </x:c>
      <x:c r="J71" s="31" t="str">
        <x:v>Positive</x:v>
      </x:c>
      <x:c r="K71" s="31" t="str">
        <x:v>None</x:v>
      </x:c>
      <x:c r="L71" s="31" t="str">
        <x:v>Customer reports a clear and helpful resolution.</x:v>
      </x:c>
      <x:c r="M71" s="15" t="n">
        <x:f>ROUND(((NETWORKDAYS(INT(C71),INT(D71),Guide!$E$5:$E$30)-1)*(Guide!$B$8-Guide!$B$7)+MOD(D71,1)-MOD(C71,1))*1440,2)</x:f>
        <x:v>45</x:v>
      </x:c>
      <x:c r="N71" s="14" t="n">
        <x:f>IF(M71&lt;=Guide!$B$6,1,0)</x:f>
        <x:v>0</x:v>
      </x:c>
      <x:c r="O71" s="14" t="n">
        <x:f>NETWORKDAYS(INT(C71),INT(E71),Guide!$E$5:$E$30)-1</x:f>
        <x:v>0</x:v>
      </x:c>
      <x:c r="P71" s="15" t="n">
        <x:f>(F71-C71)*24</x:f>
        <x:v>5.500000000116415</x:v>
      </x:c>
      <x:c r="Q71" s="15" t="n">
        <x:f>ROUND(((NETWORKDAYS(INT(E71),INT(F71),Guide!$E$5:$E$30)-1)*(Guide!$B$8-Guide!$B$7)+MOD(F71,1)-MOD(E71,1))*1440,2)</x:f>
        <x:v>255</x:v>
      </x:c>
      <x:c r="R71" s="14" t="n">
        <x:f>IF(INT(C71)=INT(F71),1,0)</x:f>
        <x:v>1</x:v>
      </x:c>
      <x:c r="S71" s="34" t="n">
        <x:f>WORKDAY(INT(C71),Guide!$B$5,Guide!$E$5:$E$30)+Guide!$B$8</x:f>
        <x:v>45859.708333333336</x:v>
      </x:c>
      <x:c r="T71" s="14" t="n">
        <x:f>IF(F71&lt;=S71,1,0)</x:f>
        <x:v>1</x:v>
      </x:c>
      <x:c r="U71" s="14" t="n">
        <x:f>IF(I71="","",IF(I71&lt;=Guide!$B$11,1,0))</x:f>
        <x:v>0</x:v>
      </x:c>
      <x:c r="V71" s="14" t="n">
        <x:f>IF(OR(N71=0,H71=1,U71=1),1,0)</x:f>
        <x:v>1</x:v>
      </x:c>
    </x:row>
    <x:row r="72" ht="25" customHeight="1">
      <x:c r="A72" s="31" t="str">
        <x:v>CASE-07-007</x:v>
      </x:c>
      <x:c r="B72" s="31" t="str">
        <x:v>EMP-01</x:v>
      </x:c>
      <x:c r="C72" s="32" t="n">
        <x:v>45853.430555555555</x:v>
      </x:c>
      <x:c r="D72" s="32" t="n">
        <x:v>45853.4375</x:v>
      </x:c>
      <x:c r="E72" s="32" t="n">
        <x:v>45853.45138888889</x:v>
      </x:c>
      <x:c r="F72" s="32" t="n">
        <x:v>45853.70138888889</x:v>
      </x:c>
      <x:c r="G72" s="33" t="n">
        <x:v>100000</x:v>
      </x:c>
      <x:c r="H72" s="31" t="n">
        <x:v>0</x:v>
      </x:c>
      <x:c r="I72" s="31" t="n">
        <x:v>4</x:v>
      </x:c>
      <x:c r="J72" s="31" t="str">
        <x:v>Positive</x:v>
      </x:c>
      <x:c r="K72" s="31" t="str">
        <x:v>None</x:v>
      </x:c>
      <x:c r="L72" s="31" t="str">
        <x:v>Customer reports a clear and helpful resolution.</x:v>
      </x:c>
      <x:c r="M72" s="15" t="n">
        <x:f>ROUND(((NETWORKDAYS(INT(C72),INT(D72),Guide!$E$5:$E$30)-1)*(Guide!$B$8-Guide!$B$7)+MOD(D72,1)-MOD(C72,1))*1440,2)</x:f>
        <x:v>10</x:v>
      </x:c>
      <x:c r="N72" s="14" t="n">
        <x:f>IF(M72&lt;=Guide!$B$6,1,0)</x:f>
        <x:v>1</x:v>
      </x:c>
      <x:c r="O72" s="14" t="n">
        <x:f>NETWORKDAYS(INT(C72),INT(E72),Guide!$E$5:$E$30)-1</x:f>
        <x:v>0</x:v>
      </x:c>
      <x:c r="P72" s="15" t="n">
        <x:f>(F72-C72)*24</x:f>
        <x:v>6.500000000058208</x:v>
      </x:c>
      <x:c r="Q72" s="15" t="n">
        <x:f>ROUND(((NETWORKDAYS(INT(E72),INT(F72),Guide!$E$5:$E$30)-1)*(Guide!$B$8-Guide!$B$7)+MOD(F72,1)-MOD(E72,1))*1440,2)</x:f>
        <x:v>360</x:v>
      </x:c>
      <x:c r="R72" s="14" t="n">
        <x:f>IF(INT(C72)=INT(F72),1,0)</x:f>
        <x:v>1</x:v>
      </x:c>
      <x:c r="S72" s="34" t="n">
        <x:f>WORKDAY(INT(C72),Guide!$B$5,Guide!$E$5:$E$30)+Guide!$B$8</x:f>
        <x:v>45860.708333333336</x:v>
      </x:c>
      <x:c r="T72" s="14" t="n">
        <x:f>IF(F72&lt;=S72,1,0)</x:f>
        <x:v>1</x:v>
      </x:c>
      <x:c r="U72" s="14" t="n">
        <x:f>IF(I72="","",IF(I72&lt;=Guide!$B$11,1,0))</x:f>
        <x:v>0</x:v>
      </x:c>
      <x:c r="V72" s="14" t="n">
        <x:f>IF(OR(N72=0,H72=1,U72=1),1,0)</x:f>
        <x:v>0</x:v>
      </x:c>
    </x:row>
    <x:row r="73" ht="25" customHeight="1">
      <x:c r="A73" s="31" t="str">
        <x:v>CASE-07-008</x:v>
      </x:c>
      <x:c r="B73" s="31" t="str">
        <x:v>EMP-01</x:v>
      </x:c>
      <x:c r="C73" s="32" t="n">
        <x:v>45855.694444444445</x:v>
      </x:c>
      <x:c r="D73" s="32" t="n">
        <x:v>45855.70138888889</x:v>
      </x:c>
      <x:c r="E73" s="32" t="n">
        <x:v>45856.38888888889</x:v>
      </x:c>
      <x:c r="F73" s="32" t="n">
        <x:v>45856.70138888889</x:v>
      </x:c>
      <x:c r="G73" s="33" t="n">
        <x:v>5000000</x:v>
      </x:c>
      <x:c r="H73" s="31" t="n">
        <x:v>0</x:v>
      </x:c>
      <x:c r="I73" s="31" t="n">
        <x:v>5</x:v>
      </x:c>
      <x:c r="J73" s="31" t="str">
        <x:v>Positive</x:v>
      </x:c>
      <x:c r="K73" s="31" t="str">
        <x:v>None</x:v>
      </x:c>
      <x:c r="L73" s="31" t="str">
        <x:v>Customer reports a clear and helpful resolution.</x:v>
      </x:c>
      <x:c r="M73" s="15" t="n">
        <x:f>ROUND(((NETWORKDAYS(INT(C73),INT(D73),Guide!$E$5:$E$30)-1)*(Guide!$B$8-Guide!$B$7)+MOD(D73,1)-MOD(C73,1))*1440,2)</x:f>
        <x:v>10</x:v>
      </x:c>
      <x:c r="N73" s="14" t="n">
        <x:f>IF(M73&lt;=Guide!$B$6,1,0)</x:f>
        <x:v>1</x:v>
      </x:c>
      <x:c r="O73" s="14" t="n">
        <x:f>NETWORKDAYS(INT(C73),INT(E73),Guide!$E$5:$E$30)-1</x:f>
        <x:v>1</x:v>
      </x:c>
      <x:c r="P73" s="15" t="n">
        <x:f>(F73-C73)*24</x:f>
        <x:v>24.16666666668607</x:v>
      </x:c>
      <x:c r="Q73" s="15" t="n">
        <x:f>ROUND(((NETWORKDAYS(INT(E73),INT(F73),Guide!$E$5:$E$30)-1)*(Guide!$B$8-Guide!$B$7)+MOD(F73,1)-MOD(E73,1))*1440,2)</x:f>
        <x:v>450</x:v>
      </x:c>
      <x:c r="R73" s="14" t="n">
        <x:f>IF(INT(C73)=INT(F73),1,0)</x:f>
        <x:v>0</x:v>
      </x:c>
      <x:c r="S73" s="34" t="n">
        <x:f>WORKDAY(INT(C73),Guide!$B$5,Guide!$E$5:$E$30)+Guide!$B$8</x:f>
        <x:v>45862.708333333336</x:v>
      </x:c>
      <x:c r="T73" s="14" t="n">
        <x:f>IF(F73&lt;=S73,1,0)</x:f>
        <x:v>1</x:v>
      </x:c>
      <x:c r="U73" s="14" t="n">
        <x:f>IF(I73="","",IF(I73&lt;=Guide!$B$11,1,0))</x:f>
        <x:v>0</x:v>
      </x:c>
      <x:c r="V73" s="14" t="n">
        <x:f>IF(OR(N73=0,H73=1,U73=1),1,0)</x:f>
        <x:v>0</x:v>
      </x:c>
    </x:row>
    <x:row r="74" ht="25" customHeight="1">
      <x:c r="A74" s="31" t="str">
        <x:v>CASE-07-009</x:v>
      </x:c>
      <x:c r="B74" s="31" t="str">
        <x:v>EMP-01</x:v>
      </x:c>
      <x:c r="C74" s="32" t="n">
        <x:v>45856.47222222222</x:v>
      </x:c>
      <x:c r="D74" s="32" t="n">
        <x:v>45856.493055555555</x:v>
      </x:c>
      <x:c r="E74" s="32" t="n">
        <x:v>45856.506944444445</x:v>
      </x:c>
      <x:c r="F74" s="32" t="n">
        <x:v>45856.70138888889</x:v>
      </x:c>
      <x:c r="G74" s="33" t="n">
        <x:v>1000000</x:v>
      </x:c>
      <x:c r="H74" s="31" t="n">
        <x:v>0</x:v>
      </x:c>
      <x:c r="I74" s="31" t="n">
        <x:v>2</x:v>
      </x:c>
      <x:c r="J74" s="31" t="str">
        <x:v>Refund timing</x:v>
      </x:c>
      <x:c r="K74" s="31" t="str">
        <x:v>Process</x:v>
      </x:c>
      <x:c r="L74" s="31" t="str">
        <x:v>Customer is unhappy about waiting for the posting run.</x:v>
      </x:c>
      <x:c r="M74" s="15" t="n">
        <x:f>ROUND(((NETWORKDAYS(INT(C74),INT(D74),Guide!$E$5:$E$30)-1)*(Guide!$B$8-Guide!$B$7)+MOD(D74,1)-MOD(C74,1))*1440,2)</x:f>
        <x:v>30</x:v>
      </x:c>
      <x:c r="N74" s="14" t="n">
        <x:f>IF(M74&lt;=Guide!$B$6,1,0)</x:f>
        <x:v>1</x:v>
      </x:c>
      <x:c r="O74" s="14" t="n">
        <x:f>NETWORKDAYS(INT(C74),INT(E74),Guide!$E$5:$E$30)-1</x:f>
        <x:v>0</x:v>
      </x:c>
      <x:c r="P74" s="15" t="n">
        <x:f>(F74-C74)*24</x:f>
        <x:v>5.500000000116415</x:v>
      </x:c>
      <x:c r="Q74" s="15" t="n">
        <x:f>ROUND(((NETWORKDAYS(INT(E74),INT(F74),Guide!$E$5:$E$30)-1)*(Guide!$B$8-Guide!$B$7)+MOD(F74,1)-MOD(E74,1))*1440,2)</x:f>
        <x:v>280</x:v>
      </x:c>
      <x:c r="R74" s="14" t="n">
        <x:f>IF(INT(C74)=INT(F74),1,0)</x:f>
        <x:v>1</x:v>
      </x:c>
      <x:c r="S74" s="34" t="n">
        <x:f>WORKDAY(INT(C74),Guide!$B$5,Guide!$E$5:$E$30)+Guide!$B$8</x:f>
        <x:v>45863.708333333336</x:v>
      </x:c>
      <x:c r="T74" s="14" t="n">
        <x:f>IF(F74&lt;=S74,1,0)</x:f>
        <x:v>1</x:v>
      </x:c>
      <x:c r="U74" s="14" t="n">
        <x:f>IF(I74="","",IF(I74&lt;=Guide!$B$11,1,0))</x:f>
        <x:v>1</x:v>
      </x:c>
      <x:c r="V74" s="14" t="n">
        <x:f>IF(OR(N74=0,H74=1,U74=1),1,0)</x:f>
        <x:v>1</x:v>
      </x:c>
    </x:row>
    <x:row r="75" ht="25" customHeight="1">
      <x:c r="A75" s="31" t="str">
        <x:v>CASE-07-010</x:v>
      </x:c>
      <x:c r="B75" s="31" t="str">
        <x:v>EMP-01</x:v>
      </x:c>
      <x:c r="C75" s="32" t="n">
        <x:v>45860.5625</x:v>
      </x:c>
      <x:c r="D75" s="32" t="n">
        <x:v>45860.583333333336</x:v>
      </x:c>
      <x:c r="E75" s="32" t="n">
        <x:v>45860.614583333336</x:v>
      </x:c>
      <x:c r="F75" s="32" t="n">
        <x:v>45860.70138888889</x:v>
      </x:c>
      <x:c r="G75" s="33" t="n">
        <x:v>200000</x:v>
      </x:c>
      <x:c r="H75" s="31" t="n">
        <x:v>0</x:v>
      </x:c>
      <x:c r="I75" s="31"/>
      <x:c r="J75" s="31" t="str">
        <x:v>No feedback</x:v>
      </x:c>
      <x:c r="K75" s="31" t="str">
        <x:v>Not assessed</x:v>
      </x:c>
      <x:c r="L75" s="31" t="str">
        <x:v>No survey response.</x:v>
      </x:c>
      <x:c r="M75" s="15" t="n">
        <x:f>ROUND(((NETWORKDAYS(INT(C75),INT(D75),Guide!$E$5:$E$30)-1)*(Guide!$B$8-Guide!$B$7)+MOD(D75,1)-MOD(C75,1))*1440,2)</x:f>
        <x:v>30</x:v>
      </x:c>
      <x:c r="N75" s="14" t="n">
        <x:f>IF(M75&lt;=Guide!$B$6,1,0)</x:f>
        <x:v>1</x:v>
      </x:c>
      <x:c r="O75" s="14" t="n">
        <x:f>NETWORKDAYS(INT(C75),INT(E75),Guide!$E$5:$E$30)-1</x:f>
        <x:v>0</x:v>
      </x:c>
      <x:c r="P75" s="15" t="n">
        <x:f>(F75-C75)*24</x:f>
        <x:v>3.3333333333721384</x:v>
      </x:c>
      <x:c r="Q75" s="15" t="n">
        <x:f>ROUND(((NETWORKDAYS(INT(E75),INT(F75),Guide!$E$5:$E$30)-1)*(Guide!$B$8-Guide!$B$7)+MOD(F75,1)-MOD(E75,1))*1440,2)</x:f>
        <x:v>125</x:v>
      </x:c>
      <x:c r="R75" s="14" t="n">
        <x:f>IF(INT(C75)=INT(F75),1,0)</x:f>
        <x:v>1</x:v>
      </x:c>
      <x:c r="S75" s="34" t="n">
        <x:f>WORKDAY(INT(C75),Guide!$B$5,Guide!$E$5:$E$30)+Guide!$B$8</x:f>
        <x:v>45867.708333333336</x:v>
      </x:c>
      <x:c r="T75" s="14" t="n">
        <x:f>IF(F75&lt;=S75,1,0)</x:f>
        <x:v>1</x:v>
      </x:c>
      <x:c r="U75" s="14" t="str">
        <x:f>IF(I75="","",IF(I75&lt;=Guide!$B$11,1,0))</x:f>
      </x:c>
      <x:c r="V75" s="14" t="n">
        <x:f>IF(OR(N75=0,H75=1,U75=1),1,0)</x:f>
        <x:v>0</x:v>
      </x:c>
    </x:row>
    <x:row r="76" ht="25" customHeight="1">
      <x:c r="A76" s="31" t="str">
        <x:v>CASE-08-001</x:v>
      </x:c>
      <x:c r="B76" s="31" t="str">
        <x:v>EMP-01</x:v>
      </x:c>
      <x:c r="C76" s="32" t="n">
        <x:v>45873.38888888889</x:v>
      </x:c>
      <x:c r="D76" s="32" t="n">
        <x:v>45873.399305555555</x:v>
      </x:c>
      <x:c r="E76" s="32" t="n">
        <x:v>45873.42013888889</x:v>
      </x:c>
      <x:c r="F76" s="32" t="n">
        <x:v>45873.70138888889</x:v>
      </x:c>
      <x:c r="G76" s="33" t="n">
        <x:v>200000</x:v>
      </x:c>
      <x:c r="H76" s="31" t="n">
        <x:v>0</x:v>
      </x:c>
      <x:c r="I76" s="31" t="n">
        <x:v>4</x:v>
      </x:c>
      <x:c r="J76" s="31" t="str">
        <x:v>Positive</x:v>
      </x:c>
      <x:c r="K76" s="31" t="str">
        <x:v>None</x:v>
      </x:c>
      <x:c r="L76" s="31" t="str">
        <x:v>Customer reports a clear and helpful resolution.</x:v>
      </x:c>
      <x:c r="M76" s="15" t="n">
        <x:f>ROUND(((NETWORKDAYS(INT(C76),INT(D76),Guide!$E$5:$E$30)-1)*(Guide!$B$8-Guide!$B$7)+MOD(D76,1)-MOD(C76,1))*1440,2)</x:f>
        <x:v>15</x:v>
      </x:c>
      <x:c r="N76" s="14" t="n">
        <x:f>IF(M76&lt;=Guide!$B$6,1,0)</x:f>
        <x:v>1</x:v>
      </x:c>
      <x:c r="O76" s="14" t="n">
        <x:f>NETWORKDAYS(INT(C76),INT(E76),Guide!$E$5:$E$30)-1</x:f>
        <x:v>0</x:v>
      </x:c>
      <x:c r="P76" s="15" t="n">
        <x:f>(F76-C76)*24</x:f>
        <x:v>7.5</x:v>
      </x:c>
      <x:c r="Q76" s="15" t="n">
        <x:f>ROUND(((NETWORKDAYS(INT(E76),INT(F76),Guide!$E$5:$E$30)-1)*(Guide!$B$8-Guide!$B$7)+MOD(F76,1)-MOD(E76,1))*1440,2)</x:f>
        <x:v>405</x:v>
      </x:c>
      <x:c r="R76" s="14" t="n">
        <x:f>IF(INT(C76)=INT(F76),1,0)</x:f>
        <x:v>1</x:v>
      </x:c>
      <x:c r="S76" s="34" t="n">
        <x:f>WORKDAY(INT(C76),Guide!$B$5,Guide!$E$5:$E$30)+Guide!$B$8</x:f>
        <x:v>45880.708333333336</x:v>
      </x:c>
      <x:c r="T76" s="14" t="n">
        <x:f>IF(F76&lt;=S76,1,0)</x:f>
        <x:v>1</x:v>
      </x:c>
      <x:c r="U76" s="14" t="n">
        <x:f>IF(I76="","",IF(I76&lt;=Guide!$B$11,1,0))</x:f>
        <x:v>0</x:v>
      </x:c>
      <x:c r="V76" s="14" t="n">
        <x:f>IF(OR(N76=0,H76=1,U76=1),1,0)</x:f>
        <x:v>0</x:v>
      </x:c>
    </x:row>
    <x:row r="77" ht="25" customHeight="1">
      <x:c r="A77" s="31" t="str">
        <x:v>CASE-08-002</x:v>
      </x:c>
      <x:c r="B77" s="31" t="str">
        <x:v>EMP-01</x:v>
      </x:c>
      <x:c r="C77" s="32" t="n">
        <x:v>45874.69097222222</x:v>
      </x:c>
      <x:c r="D77" s="32" t="n">
        <x:v>45874.697916666664</x:v>
      </x:c>
      <x:c r="E77" s="32" t="n">
        <x:v>45875.38888888889</x:v>
      </x:c>
      <x:c r="F77" s="32" t="n">
        <x:v>45875.70138888889</x:v>
      </x:c>
      <x:c r="G77" s="33" t="n">
        <x:v>2000000</x:v>
      </x:c>
      <x:c r="H77" s="31" t="n">
        <x:v>0</x:v>
      </x:c>
      <x:c r="I77" s="31" t="n">
        <x:v>5</x:v>
      </x:c>
      <x:c r="J77" s="31" t="str">
        <x:v>Positive</x:v>
      </x:c>
      <x:c r="K77" s="31" t="str">
        <x:v>None</x:v>
      </x:c>
      <x:c r="L77" s="31" t="str">
        <x:v>Customer reports a clear and helpful resolution.</x:v>
      </x:c>
      <x:c r="M77" s="15" t="n">
        <x:f>ROUND(((NETWORKDAYS(INT(C77),INT(D77),Guide!$E$5:$E$30)-1)*(Guide!$B$8-Guide!$B$7)+MOD(D77,1)-MOD(C77,1))*1440,2)</x:f>
        <x:v>10</x:v>
      </x:c>
      <x:c r="N77" s="14" t="n">
        <x:f>IF(M77&lt;=Guide!$B$6,1,0)</x:f>
        <x:v>1</x:v>
      </x:c>
      <x:c r="O77" s="14" t="n">
        <x:f>NETWORKDAYS(INT(C77),INT(E77),Guide!$E$5:$E$30)-1</x:f>
        <x:v>1</x:v>
      </x:c>
      <x:c r="P77" s="15" t="n">
        <x:f>(F77-C77)*24</x:f>
        <x:v>24.250000000116415</x:v>
      </x:c>
      <x:c r="Q77" s="15" t="n">
        <x:f>ROUND(((NETWORKDAYS(INT(E77),INT(F77),Guide!$E$5:$E$30)-1)*(Guide!$B$8-Guide!$B$7)+MOD(F77,1)-MOD(E77,1))*1440,2)</x:f>
        <x:v>450</x:v>
      </x:c>
      <x:c r="R77" s="14" t="n">
        <x:f>IF(INT(C77)=INT(F77),1,0)</x:f>
        <x:v>0</x:v>
      </x:c>
      <x:c r="S77" s="34" t="n">
        <x:f>WORKDAY(INT(C77),Guide!$B$5,Guide!$E$5:$E$30)+Guide!$B$8</x:f>
        <x:v>45881.708333333336</x:v>
      </x:c>
      <x:c r="T77" s="14" t="n">
        <x:f>IF(F77&lt;=S77,1,0)</x:f>
        <x:v>1</x:v>
      </x:c>
      <x:c r="U77" s="14" t="n">
        <x:f>IF(I77="","",IF(I77&lt;=Guide!$B$11,1,0))</x:f>
        <x:v>0</x:v>
      </x:c>
      <x:c r="V77" s="14" t="n">
        <x:f>IF(OR(N77=0,H77=1,U77=1),1,0)</x:f>
        <x:v>0</x:v>
      </x:c>
    </x:row>
    <x:row r="78" ht="25" customHeight="1">
      <x:c r="A78" s="31" t="str">
        <x:v>CASE-08-003</x:v>
      </x:c>
      <x:c r="B78" s="31" t="str">
        <x:v>EMP-01</x:v>
      </x:c>
      <x:c r="C78" s="32" t="n">
        <x:v>45875.555555555555</x:v>
      </x:c>
      <x:c r="D78" s="32" t="n">
        <x:v>45875.57638888889</x:v>
      </x:c>
      <x:c r="E78" s="32" t="n">
        <x:v>45875.59722222222</x:v>
      </x:c>
      <x:c r="F78" s="32" t="n">
        <x:v>45875.70138888889</x:v>
      </x:c>
      <x:c r="G78" s="33" t="n">
        <x:v>100000</x:v>
      </x:c>
      <x:c r="H78" s="31" t="n">
        <x:v>0</x:v>
      </x:c>
      <x:c r="I78" s="31" t="n">
        <x:v>5</x:v>
      </x:c>
      <x:c r="J78" s="31" t="str">
        <x:v>Positive</x:v>
      </x:c>
      <x:c r="K78" s="31" t="str">
        <x:v>None</x:v>
      </x:c>
      <x:c r="L78" s="31" t="str">
        <x:v>Customer reports a clear and helpful resolution.</x:v>
      </x:c>
      <x:c r="M78" s="15" t="n">
        <x:f>ROUND(((NETWORKDAYS(INT(C78),INT(D78),Guide!$E$5:$E$30)-1)*(Guide!$B$8-Guide!$B$7)+MOD(D78,1)-MOD(C78,1))*1440,2)</x:f>
        <x:v>30</x:v>
      </x:c>
      <x:c r="N78" s="14" t="n">
        <x:f>IF(M78&lt;=Guide!$B$6,1,0)</x:f>
        <x:v>1</x:v>
      </x:c>
      <x:c r="O78" s="14" t="n">
        <x:f>NETWORKDAYS(INT(C78),INT(E78),Guide!$E$5:$E$30)-1</x:f>
        <x:v>0</x:v>
      </x:c>
      <x:c r="P78" s="15" t="n">
        <x:f>(F78-C78)*24</x:f>
        <x:v>3.5000000000582077</x:v>
      </x:c>
      <x:c r="Q78" s="15" t="n">
        <x:f>ROUND(((NETWORKDAYS(INT(E78),INT(F78),Guide!$E$5:$E$30)-1)*(Guide!$B$8-Guide!$B$7)+MOD(F78,1)-MOD(E78,1))*1440,2)</x:f>
        <x:v>150</x:v>
      </x:c>
      <x:c r="R78" s="14" t="n">
        <x:f>IF(INT(C78)=INT(F78),1,0)</x:f>
        <x:v>1</x:v>
      </x:c>
      <x:c r="S78" s="34" t="n">
        <x:f>WORKDAY(INT(C78),Guide!$B$5,Guide!$E$5:$E$30)+Guide!$B$8</x:f>
        <x:v>45882.708333333336</x:v>
      </x:c>
      <x:c r="T78" s="14" t="n">
        <x:f>IF(F78&lt;=S78,1,0)</x:f>
        <x:v>1</x:v>
      </x:c>
      <x:c r="U78" s="14" t="n">
        <x:f>IF(I78="","",IF(I78&lt;=Guide!$B$11,1,0))</x:f>
        <x:v>0</x:v>
      </x:c>
      <x:c r="V78" s="14" t="n">
        <x:f>IF(OR(N78=0,H78=1,U78=1),1,0)</x:f>
        <x:v>0</x:v>
      </x:c>
    </x:row>
    <x:row r="79" ht="25" customHeight="1">
      <x:c r="A79" s="31" t="str">
        <x:v>CASE-08-004</x:v>
      </x:c>
      <x:c r="B79" s="31" t="str">
        <x:v>EMP-01</x:v>
      </x:c>
      <x:c r="C79" s="32" t="n">
        <x:v>45881.395833333336</x:v>
      </x:c>
      <x:c r="D79" s="32" t="n">
        <x:v>45881.413194444445</x:v>
      </x:c>
      <x:c r="E79" s="32" t="n">
        <x:v>45881.427083333336</x:v>
      </x:c>
      <x:c r="F79" s="32" t="n">
        <x:v>45881.70138888889</x:v>
      </x:c>
      <x:c r="G79" s="33" t="n">
        <x:v>1000000</x:v>
      </x:c>
      <x:c r="H79" s="31" t="n">
        <x:v>0</x:v>
      </x:c>
      <x:c r="I79" s="31" t="n">
        <x:v>4</x:v>
      </x:c>
      <x:c r="J79" s="31" t="str">
        <x:v>Positive</x:v>
      </x:c>
      <x:c r="K79" s="31" t="str">
        <x:v>None</x:v>
      </x:c>
      <x:c r="L79" s="31" t="str">
        <x:v>Customer reports a clear and helpful resolution.</x:v>
      </x:c>
      <x:c r="M79" s="15" t="n">
        <x:f>ROUND(((NETWORKDAYS(INT(C79),INT(D79),Guide!$E$5:$E$30)-1)*(Guide!$B$8-Guide!$B$7)+MOD(D79,1)-MOD(C79,1))*1440,2)</x:f>
        <x:v>25</x:v>
      </x:c>
      <x:c r="N79" s="14" t="n">
        <x:f>IF(M79&lt;=Guide!$B$6,1,0)</x:f>
        <x:v>1</x:v>
      </x:c>
      <x:c r="O79" s="14" t="n">
        <x:f>NETWORKDAYS(INT(C79),INT(E79),Guide!$E$5:$E$30)-1</x:f>
        <x:v>0</x:v>
      </x:c>
      <x:c r="P79" s="15" t="n">
        <x:f>(F79-C79)*24</x:f>
        <x:v>7.333333333313931</x:v>
      </x:c>
      <x:c r="Q79" s="15" t="n">
        <x:f>ROUND(((NETWORKDAYS(INT(E79),INT(F79),Guide!$E$5:$E$30)-1)*(Guide!$B$8-Guide!$B$7)+MOD(F79,1)-MOD(E79,1))*1440,2)</x:f>
        <x:v>395</x:v>
      </x:c>
      <x:c r="R79" s="14" t="n">
        <x:f>IF(INT(C79)=INT(F79),1,0)</x:f>
        <x:v>1</x:v>
      </x:c>
      <x:c r="S79" s="34" t="n">
        <x:f>WORKDAY(INT(C79),Guide!$B$5,Guide!$E$5:$E$30)+Guide!$B$8</x:f>
        <x:v>45888.708333333336</x:v>
      </x:c>
      <x:c r="T79" s="14" t="n">
        <x:f>IF(F79&lt;=S79,1,0)</x:f>
        <x:v>1</x:v>
      </x:c>
      <x:c r="U79" s="14" t="n">
        <x:f>IF(I79="","",IF(I79&lt;=Guide!$B$11,1,0))</x:f>
        <x:v>0</x:v>
      </x:c>
      <x:c r="V79" s="14" t="n">
        <x:f>IF(OR(N79=0,H79=1,U79=1),1,0)</x:f>
        <x:v>0</x:v>
      </x:c>
    </x:row>
    <x:row r="80" ht="25" customHeight="1">
      <x:c r="A80" s="31" t="str">
        <x:v>CASE-08-005</x:v>
      </x:c>
      <x:c r="B80" s="31" t="str">
        <x:v>EMP-01</x:v>
      </x:c>
      <x:c r="C80" s="32" t="n">
        <x:v>45882.5625</x:v>
      </x:c>
      <x:c r="D80" s="32" t="n">
        <x:v>45882.572916666664</x:v>
      </x:c>
      <x:c r="E80" s="32" t="n">
        <x:v>45882.59375</x:v>
      </x:c>
      <x:c r="F80" s="32" t="n">
        <x:v>45882.70138888889</x:v>
      </x:c>
      <x:c r="G80" s="33" t="n">
        <x:v>5000000</x:v>
      </x:c>
      <x:c r="H80" s="31" t="n">
        <x:v>0</x:v>
      </x:c>
      <x:c r="I80" s="31"/>
      <x:c r="J80" s="31" t="str">
        <x:v>No feedback</x:v>
      </x:c>
      <x:c r="K80" s="31" t="str">
        <x:v>Not assessed</x:v>
      </x:c>
      <x:c r="L80" s="31" t="str">
        <x:v>No survey response.</x:v>
      </x:c>
      <x:c r="M80" s="15" t="n">
        <x:f>ROUND(((NETWORKDAYS(INT(C80),INT(D80),Guide!$E$5:$E$30)-1)*(Guide!$B$8-Guide!$B$7)+MOD(D80,1)-MOD(C80,1))*1440,2)</x:f>
        <x:v>15</x:v>
      </x:c>
      <x:c r="N80" s="14" t="n">
        <x:f>IF(M80&lt;=Guide!$B$6,1,0)</x:f>
        <x:v>1</x:v>
      </x:c>
      <x:c r="O80" s="14" t="n">
        <x:f>NETWORKDAYS(INT(C80),INT(E80),Guide!$E$5:$E$30)-1</x:f>
        <x:v>0</x:v>
      </x:c>
      <x:c r="P80" s="15" t="n">
        <x:f>(F80-C80)*24</x:f>
        <x:v>3.3333333333721384</x:v>
      </x:c>
      <x:c r="Q80" s="15" t="n">
        <x:f>ROUND(((NETWORKDAYS(INT(E80),INT(F80),Guide!$E$5:$E$30)-1)*(Guide!$B$8-Guide!$B$7)+MOD(F80,1)-MOD(E80,1))*1440,2)</x:f>
        <x:v>155</x:v>
      </x:c>
      <x:c r="R80" s="14" t="n">
        <x:f>IF(INT(C80)=INT(F80),1,0)</x:f>
        <x:v>1</x:v>
      </x:c>
      <x:c r="S80" s="34" t="n">
        <x:f>WORKDAY(INT(C80),Guide!$B$5,Guide!$E$5:$E$30)+Guide!$B$8</x:f>
        <x:v>45889.708333333336</x:v>
      </x:c>
      <x:c r="T80" s="14" t="n">
        <x:f>IF(F80&lt;=S80,1,0)</x:f>
        <x:v>1</x:v>
      </x:c>
      <x:c r="U80" s="14" t="str">
        <x:f>IF(I80="","",IF(I80&lt;=Guide!$B$11,1,0))</x:f>
      </x:c>
      <x:c r="V80" s="14" t="n">
        <x:f>IF(OR(N80=0,H80=1,U80=1),1,0)</x:f>
        <x:v>0</x:v>
      </x:c>
    </x:row>
    <x:row r="81" ht="25" customHeight="1">
      <x:c r="A81" s="31" t="str">
        <x:v>CASE-08-006</x:v>
      </x:c>
      <x:c r="B81" s="31" t="str">
        <x:v>EMP-01</x:v>
      </x:c>
      <x:c r="C81" s="32" t="n">
        <x:v>45883.381944444445</x:v>
      </x:c>
      <x:c r="D81" s="32" t="n">
        <x:v>45883.38888888889</x:v>
      </x:c>
      <x:c r="E81" s="32" t="n">
        <x:v>45883.42013888889</x:v>
      </x:c>
      <x:c r="F81" s="32" t="n">
        <x:v>45883.70138888889</x:v>
      </x:c>
      <x:c r="G81" s="33" t="n">
        <x:v>1000000</x:v>
      </x:c>
      <x:c r="H81" s="31" t="n">
        <x:v>0</x:v>
      </x:c>
      <x:c r="I81" s="31" t="n">
        <x:v>4</x:v>
      </x:c>
      <x:c r="J81" s="31" t="str">
        <x:v>Positive</x:v>
      </x:c>
      <x:c r="K81" s="31" t="str">
        <x:v>None</x:v>
      </x:c>
      <x:c r="L81" s="31" t="str">
        <x:v>Customer reports a clear and helpful resolution.</x:v>
      </x:c>
      <x:c r="M81" s="15" t="n">
        <x:f>ROUND(((NETWORKDAYS(INT(C81),INT(D81),Guide!$E$5:$E$30)-1)*(Guide!$B$8-Guide!$B$7)+MOD(D81,1)-MOD(C81,1))*1440,2)</x:f>
        <x:v>10</x:v>
      </x:c>
      <x:c r="N81" s="14" t="n">
        <x:f>IF(M81&lt;=Guide!$B$6,1,0)</x:f>
        <x:v>1</x:v>
      </x:c>
      <x:c r="O81" s="14" t="n">
        <x:f>NETWORKDAYS(INT(C81),INT(E81),Guide!$E$5:$E$30)-1</x:f>
        <x:v>0</x:v>
      </x:c>
      <x:c r="P81" s="15" t="n">
        <x:f>(F81-C81)*24</x:f>
        <x:v>7.666666666686069</x:v>
      </x:c>
      <x:c r="Q81" s="15" t="n">
        <x:f>ROUND(((NETWORKDAYS(INT(E81),INT(F81),Guide!$E$5:$E$30)-1)*(Guide!$B$8-Guide!$B$7)+MOD(F81,1)-MOD(E81,1))*1440,2)</x:f>
        <x:v>405</x:v>
      </x:c>
      <x:c r="R81" s="14" t="n">
        <x:f>IF(INT(C81)=INT(F81),1,0)</x:f>
        <x:v>1</x:v>
      </x:c>
      <x:c r="S81" s="34" t="n">
        <x:f>WORKDAY(INT(C81),Guide!$B$5,Guide!$E$5:$E$30)+Guide!$B$8</x:f>
        <x:v>45890.708333333336</x:v>
      </x:c>
      <x:c r="T81" s="14" t="n">
        <x:f>IF(F81&lt;=S81,1,0)</x:f>
        <x:v>1</x:v>
      </x:c>
      <x:c r="U81" s="14" t="n">
        <x:f>IF(I81="","",IF(I81&lt;=Guide!$B$11,1,0))</x:f>
        <x:v>0</x:v>
      </x:c>
      <x:c r="V81" s="14" t="n">
        <x:f>IF(OR(N81=0,H81=1,U81=1),1,0)</x:f>
        <x:v>0</x:v>
      </x:c>
    </x:row>
    <x:row r="82" ht="25" customHeight="1">
      <x:c r="A82" s="31" t="str">
        <x:v>CASE-08-007</x:v>
      </x:c>
      <x:c r="B82" s="31" t="str">
        <x:v>EMP-01</x:v>
      </x:c>
      <x:c r="C82" s="32" t="n">
        <x:v>45888.333333333336</x:v>
      </x:c>
      <x:c r="D82" s="32" t="n">
        <x:v>45888.336805555555</x:v>
      </x:c>
      <x:c r="E82" s="32" t="n">
        <x:v>45888.37847222222</x:v>
      </x:c>
      <x:c r="F82" s="32" t="n">
        <x:v>45888.70138888889</x:v>
      </x:c>
      <x:c r="G82" s="33" t="n">
        <x:v>2000000</x:v>
      </x:c>
      <x:c r="H82" s="31" t="n">
        <x:v>0</x:v>
      </x:c>
      <x:c r="I82" s="31" t="n">
        <x:v>4</x:v>
      </x:c>
      <x:c r="J82" s="31" t="str">
        <x:v>Positive</x:v>
      </x:c>
      <x:c r="K82" s="31" t="str">
        <x:v>None</x:v>
      </x:c>
      <x:c r="L82" s="31" t="str">
        <x:v>Customer reports a clear and helpful resolution.</x:v>
      </x:c>
      <x:c r="M82" s="15" t="n">
        <x:f>ROUND(((NETWORKDAYS(INT(C82),INT(D82),Guide!$E$5:$E$30)-1)*(Guide!$B$8-Guide!$B$7)+MOD(D82,1)-MOD(C82,1))*1440,2)</x:f>
        <x:v>5</x:v>
      </x:c>
      <x:c r="N82" s="14" t="n">
        <x:f>IF(M82&lt;=Guide!$B$6,1,0)</x:f>
        <x:v>1</x:v>
      </x:c>
      <x:c r="O82" s="14" t="n">
        <x:f>NETWORKDAYS(INT(C82),INT(E82),Guide!$E$5:$E$30)-1</x:f>
        <x:v>0</x:v>
      </x:c>
      <x:c r="P82" s="15" t="n">
        <x:f>(F82-C82)*24</x:f>
        <x:v>8.83333333331393</x:v>
      </x:c>
      <x:c r="Q82" s="15" t="n">
        <x:f>ROUND(((NETWORKDAYS(INT(E82),INT(F82),Guide!$E$5:$E$30)-1)*(Guide!$B$8-Guide!$B$7)+MOD(F82,1)-MOD(E82,1))*1440,2)</x:f>
        <x:v>465</x:v>
      </x:c>
      <x:c r="R82" s="14" t="n">
        <x:f>IF(INT(C82)=INT(F82),1,0)</x:f>
        <x:v>1</x:v>
      </x:c>
      <x:c r="S82" s="34" t="n">
        <x:f>WORKDAY(INT(C82),Guide!$B$5,Guide!$E$5:$E$30)+Guide!$B$8</x:f>
        <x:v>45895.708333333336</x:v>
      </x:c>
      <x:c r="T82" s="14" t="n">
        <x:f>IF(F82&lt;=S82,1,0)</x:f>
        <x:v>1</x:v>
      </x:c>
      <x:c r="U82" s="14" t="n">
        <x:f>IF(I82="","",IF(I82&lt;=Guide!$B$11,1,0))</x:f>
        <x:v>0</x:v>
      </x:c>
      <x:c r="V82" s="14" t="n">
        <x:f>IF(OR(N82=0,H82=1,U82=1),1,0)</x:f>
        <x:v>0</x:v>
      </x:c>
    </x:row>
    <x:row r="83" ht="25" customHeight="1">
      <x:c r="A83" s="31" t="str">
        <x:v>CASE-08-008</x:v>
      </x:c>
      <x:c r="B83" s="31" t="str">
        <x:v>EMP-01</x:v>
      </x:c>
      <x:c r="C83" s="32" t="n">
        <x:v>45889.694444444445</x:v>
      </x:c>
      <x:c r="D83" s="32" t="n">
        <x:v>45890.36111111111</x:v>
      </x:c>
      <x:c r="E83" s="32" t="n">
        <x:v>45890.38888888889</x:v>
      </x:c>
      <x:c r="F83" s="32" t="n">
        <x:v>45890.70138888889</x:v>
      </x:c>
      <x:c r="G83" s="33" t="n">
        <x:v>3000000</x:v>
      </x:c>
      <x:c r="H83" s="31" t="n">
        <x:v>0</x:v>
      </x:c>
      <x:c r="I83" s="31" t="n">
        <x:v>5</x:v>
      </x:c>
      <x:c r="J83" s="31" t="str">
        <x:v>Positive</x:v>
      </x:c>
      <x:c r="K83" s="31" t="str">
        <x:v>None</x:v>
      </x:c>
      <x:c r="L83" s="31" t="str">
        <x:v>Customer reports a clear and helpful resolution.</x:v>
      </x:c>
      <x:c r="M83" s="15" t="n">
        <x:f>ROUND(((NETWORKDAYS(INT(C83),INT(D83),Guide!$E$5:$E$30)-1)*(Guide!$B$8-Guide!$B$7)+MOD(D83,1)-MOD(C83,1))*1440,2)</x:f>
        <x:v>60</x:v>
      </x:c>
      <x:c r="N83" s="14" t="n">
        <x:f>IF(M83&lt;=Guide!$B$6,1,0)</x:f>
        <x:v>0</x:v>
      </x:c>
      <x:c r="O83" s="14" t="n">
        <x:f>NETWORKDAYS(INT(C83),INT(E83),Guide!$E$5:$E$30)-1</x:f>
        <x:v>1</x:v>
      </x:c>
      <x:c r="P83" s="15" t="n">
        <x:f>(F83-C83)*24</x:f>
        <x:v>24.16666666668607</x:v>
      </x:c>
      <x:c r="Q83" s="15" t="n">
        <x:f>ROUND(((NETWORKDAYS(INT(E83),INT(F83),Guide!$E$5:$E$30)-1)*(Guide!$B$8-Guide!$B$7)+MOD(F83,1)-MOD(E83,1))*1440,2)</x:f>
        <x:v>450</x:v>
      </x:c>
      <x:c r="R83" s="14" t="n">
        <x:f>IF(INT(C83)=INT(F83),1,0)</x:f>
        <x:v>0</x:v>
      </x:c>
      <x:c r="S83" s="34" t="n">
        <x:f>WORKDAY(INT(C83),Guide!$B$5,Guide!$E$5:$E$30)+Guide!$B$8</x:f>
        <x:v>45896.708333333336</x:v>
      </x:c>
      <x:c r="T83" s="14" t="n">
        <x:f>IF(F83&lt;=S83,1,0)</x:f>
        <x:v>1</x:v>
      </x:c>
      <x:c r="U83" s="14" t="n">
        <x:f>IF(I83="","",IF(I83&lt;=Guide!$B$11,1,0))</x:f>
        <x:v>0</x:v>
      </x:c>
      <x:c r="V83" s="14" t="n">
        <x:f>IF(OR(N83=0,H83=1,U83=1),1,0)</x:f>
        <x:v>1</x:v>
      </x:c>
    </x:row>
    <x:row r="84" ht="25" customHeight="1">
      <x:c r="A84" s="31" t="str">
        <x:v>CASE-08-009</x:v>
      </x:c>
      <x:c r="B84" s="31" t="str">
        <x:v>EMP-01</x:v>
      </x:c>
      <x:c r="C84" s="32" t="n">
        <x:v>45890.416666666664</x:v>
      </x:c>
      <x:c r="D84" s="32" t="n">
        <x:v>45890.42361111111</x:v>
      </x:c>
      <x:c r="E84" s="32" t="n">
        <x:v>45890.444444444445</x:v>
      </x:c>
      <x:c r="F84" s="32" t="n">
        <x:v>45890.70138888889</x:v>
      </x:c>
      <x:c r="G84" s="33" t="n">
        <x:v>1000000</x:v>
      </x:c>
      <x:c r="H84" s="31" t="n">
        <x:v>0</x:v>
      </x:c>
      <x:c r="I84" s="31" t="n">
        <x:v>4</x:v>
      </x:c>
      <x:c r="J84" s="31" t="str">
        <x:v>Positive</x:v>
      </x:c>
      <x:c r="K84" s="31" t="str">
        <x:v>None</x:v>
      </x:c>
      <x:c r="L84" s="31" t="str">
        <x:v>Customer reports a clear and helpful resolution.</x:v>
      </x:c>
      <x:c r="M84" s="15" t="n">
        <x:f>ROUND(((NETWORKDAYS(INT(C84),INT(D84),Guide!$E$5:$E$30)-1)*(Guide!$B$8-Guide!$B$7)+MOD(D84,1)-MOD(C84,1))*1440,2)</x:f>
        <x:v>10</x:v>
      </x:c>
      <x:c r="N84" s="14" t="n">
        <x:f>IF(M84&lt;=Guide!$B$6,1,0)</x:f>
        <x:v>1</x:v>
      </x:c>
      <x:c r="O84" s="14" t="n">
        <x:f>NETWORKDAYS(INT(C84),INT(E84),Guide!$E$5:$E$30)-1</x:f>
        <x:v>0</x:v>
      </x:c>
      <x:c r="P84" s="15" t="n">
        <x:f>(F84-C84)*24</x:f>
        <x:v>6.833333333430346</x:v>
      </x:c>
      <x:c r="Q84" s="15" t="n">
        <x:f>ROUND(((NETWORKDAYS(INT(E84),INT(F84),Guide!$E$5:$E$30)-1)*(Guide!$B$8-Guide!$B$7)+MOD(F84,1)-MOD(E84,1))*1440,2)</x:f>
        <x:v>370</x:v>
      </x:c>
      <x:c r="R84" s="14" t="n">
        <x:f>IF(INT(C84)=INT(F84),1,0)</x:f>
        <x:v>1</x:v>
      </x:c>
      <x:c r="S84" s="34" t="n">
        <x:f>WORKDAY(INT(C84),Guide!$B$5,Guide!$E$5:$E$30)+Guide!$B$8</x:f>
        <x:v>45897.708333333336</x:v>
      </x:c>
      <x:c r="T84" s="14" t="n">
        <x:f>IF(F84&lt;=S84,1,0)</x:f>
        <x:v>1</x:v>
      </x:c>
      <x:c r="U84" s="14" t="n">
        <x:f>IF(I84="","",IF(I84&lt;=Guide!$B$11,1,0))</x:f>
        <x:v>0</x:v>
      </x:c>
      <x:c r="V84" s="14" t="n">
        <x:f>IF(OR(N84=0,H84=1,U84=1),1,0)</x:f>
        <x:v>0</x:v>
      </x:c>
    </x:row>
    <x:row r="85" ht="25" customHeight="1">
      <x:c r="A85" s="31" t="str">
        <x:v>CASE-08-010</x:v>
      </x:c>
      <x:c r="B85" s="31" t="str">
        <x:v>EMP-01</x:v>
      </x:c>
      <x:c r="C85" s="32" t="n">
        <x:v>45891.47222222222</x:v>
      </x:c>
      <x:c r="D85" s="32" t="n">
        <x:v>45891.48263888889</x:v>
      </x:c>
      <x:c r="E85" s="32" t="n">
        <x:v>45891.51388888889</x:v>
      </x:c>
      <x:c r="F85" s="32" t="n">
        <x:v>45891.70138888889</x:v>
      </x:c>
      <x:c r="G85" s="33" t="n">
        <x:v>2000000</x:v>
      </x:c>
      <x:c r="H85" s="31" t="n">
        <x:v>0</x:v>
      </x:c>
      <x:c r="I85" s="31"/>
      <x:c r="J85" s="31" t="str">
        <x:v>No feedback</x:v>
      </x:c>
      <x:c r="K85" s="31" t="str">
        <x:v>Not assessed</x:v>
      </x:c>
      <x:c r="L85" s="31" t="str">
        <x:v>No survey response.</x:v>
      </x:c>
      <x:c r="M85" s="15" t="n">
        <x:f>ROUND(((NETWORKDAYS(INT(C85),INT(D85),Guide!$E$5:$E$30)-1)*(Guide!$B$8-Guide!$B$7)+MOD(D85,1)-MOD(C85,1))*1440,2)</x:f>
        <x:v>15</x:v>
      </x:c>
      <x:c r="N85" s="14" t="n">
        <x:f>IF(M85&lt;=Guide!$B$6,1,0)</x:f>
        <x:v>1</x:v>
      </x:c>
      <x:c r="O85" s="14" t="n">
        <x:f>NETWORKDAYS(INT(C85),INT(E85),Guide!$E$5:$E$30)-1</x:f>
        <x:v>0</x:v>
      </x:c>
      <x:c r="P85" s="15" t="n">
        <x:f>(F85-C85)*24</x:f>
        <x:v>5.500000000116415</x:v>
      </x:c>
      <x:c r="Q85" s="15" t="n">
        <x:f>ROUND(((NETWORKDAYS(INT(E85),INT(F85),Guide!$E$5:$E$30)-1)*(Guide!$B$8-Guide!$B$7)+MOD(F85,1)-MOD(E85,1))*1440,2)</x:f>
        <x:v>270</x:v>
      </x:c>
      <x:c r="R85" s="14" t="n">
        <x:f>IF(INT(C85)=INT(F85),1,0)</x:f>
        <x:v>1</x:v>
      </x:c>
      <x:c r="S85" s="34" t="n">
        <x:f>WORKDAY(INT(C85),Guide!$B$5,Guide!$E$5:$E$30)+Guide!$B$8</x:f>
        <x:v>45898.708333333336</x:v>
      </x:c>
      <x:c r="T85" s="14" t="n">
        <x:f>IF(F85&lt;=S85,1,0)</x:f>
        <x:v>1</x:v>
      </x:c>
      <x:c r="U85" s="14" t="str">
        <x:f>IF(I85="","",IF(I85&lt;=Guide!$B$11,1,0))</x:f>
      </x:c>
      <x:c r="V85" s="14" t="n">
        <x:f>IF(OR(N85=0,H85=1,U85=1),1,0)</x:f>
        <x:v>0</x:v>
      </x:c>
    </x:row>
    <x:row r="86" ht="25" customHeight="1">
      <x:c r="A86" s="31" t="str">
        <x:v>CASE-09-001</x:v>
      </x:c>
      <x:c r="B86" s="31" t="str">
        <x:v>EMP-01</x:v>
      </x:c>
      <x:c r="C86" s="32" t="n">
        <x:v>45903.604166666664</x:v>
      </x:c>
      <x:c r="D86" s="32" t="n">
        <x:v>45903.614583333336</x:v>
      </x:c>
      <x:c r="E86" s="32" t="n">
        <x:v>45903.635416666664</x:v>
      </x:c>
      <x:c r="F86" s="32" t="n">
        <x:v>45903.70138888889</x:v>
      </x:c>
      <x:c r="G86" s="33" t="n">
        <x:v>3000000</x:v>
      </x:c>
      <x:c r="H86" s="31" t="n">
        <x:v>0</x:v>
      </x:c>
      <x:c r="I86" s="31" t="n">
        <x:v>4</x:v>
      </x:c>
      <x:c r="J86" s="31" t="str">
        <x:v>Positive</x:v>
      </x:c>
      <x:c r="K86" s="31" t="str">
        <x:v>None</x:v>
      </x:c>
      <x:c r="L86" s="31" t="str">
        <x:v>Customer reports a clear and helpful resolution.</x:v>
      </x:c>
      <x:c r="M86" s="15" t="n">
        <x:f>ROUND(((NETWORKDAYS(INT(C86),INT(D86),Guide!$E$5:$E$30)-1)*(Guide!$B$8-Guide!$B$7)+MOD(D86,1)-MOD(C86,1))*1440,2)</x:f>
        <x:v>15</x:v>
      </x:c>
      <x:c r="N86" s="14" t="n">
        <x:f>IF(M86&lt;=Guide!$B$6,1,0)</x:f>
        <x:v>1</x:v>
      </x:c>
      <x:c r="O86" s="14" t="n">
        <x:f>NETWORKDAYS(INT(C86),INT(E86),Guide!$E$5:$E$30)-1</x:f>
        <x:v>0</x:v>
      </x:c>
      <x:c r="P86" s="15" t="n">
        <x:f>(F86-C86)*24</x:f>
        <x:v>2.333333333430346</x:v>
      </x:c>
      <x:c r="Q86" s="15" t="n">
        <x:f>ROUND(((NETWORKDAYS(INT(E86),INT(F86),Guide!$E$5:$E$30)-1)*(Guide!$B$8-Guide!$B$7)+MOD(F86,1)-MOD(E86,1))*1440,2)</x:f>
        <x:v>95</x:v>
      </x:c>
      <x:c r="R86" s="14" t="n">
        <x:f>IF(INT(C86)=INT(F86),1,0)</x:f>
        <x:v>1</x:v>
      </x:c>
      <x:c r="S86" s="34" t="n">
        <x:f>WORKDAY(INT(C86),Guide!$B$5,Guide!$E$5:$E$30)+Guide!$B$8</x:f>
        <x:v>45910.708333333336</x:v>
      </x:c>
      <x:c r="T86" s="14" t="n">
        <x:f>IF(F86&lt;=S86,1,0)</x:f>
        <x:v>1</x:v>
      </x:c>
      <x:c r="U86" s="14" t="n">
        <x:f>IF(I86="","",IF(I86&lt;=Guide!$B$11,1,0))</x:f>
        <x:v>0</x:v>
      </x:c>
      <x:c r="V86" s="14" t="n">
        <x:f>IF(OR(N86=0,H86=1,U86=1),1,0)</x:f>
        <x:v>0</x:v>
      </x:c>
    </x:row>
    <x:row r="87" ht="25" customHeight="1">
      <x:c r="A87" s="31" t="str">
        <x:v>CASE-09-002</x:v>
      </x:c>
      <x:c r="B87" s="31" t="str">
        <x:v>EMP-01</x:v>
      </x:c>
      <x:c r="C87" s="32" t="n">
        <x:v>45909.69097222222</x:v>
      </x:c>
      <x:c r="D87" s="32" t="n">
        <x:v>45909.697916666664</x:v>
      </x:c>
      <x:c r="E87" s="32" t="n">
        <x:v>45910.395833333336</x:v>
      </x:c>
      <x:c r="F87" s="32" t="n">
        <x:v>45910.70138888889</x:v>
      </x:c>
      <x:c r="G87" s="33" t="n">
        <x:v>5000000</x:v>
      </x:c>
      <x:c r="H87" s="31" t="n">
        <x:v>0</x:v>
      </x:c>
      <x:c r="I87" s="31" t="n">
        <x:v>5</x:v>
      </x:c>
      <x:c r="J87" s="31" t="str">
        <x:v>Positive</x:v>
      </x:c>
      <x:c r="K87" s="31" t="str">
        <x:v>None</x:v>
      </x:c>
      <x:c r="L87" s="31" t="str">
        <x:v>Customer reports a clear and helpful resolution.</x:v>
      </x:c>
      <x:c r="M87" s="15" t="n">
        <x:f>ROUND(((NETWORKDAYS(INT(C87),INT(D87),Guide!$E$5:$E$30)-1)*(Guide!$B$8-Guide!$B$7)+MOD(D87,1)-MOD(C87,1))*1440,2)</x:f>
        <x:v>10</x:v>
      </x:c>
      <x:c r="N87" s="14" t="n">
        <x:f>IF(M87&lt;=Guide!$B$6,1,0)</x:f>
        <x:v>1</x:v>
      </x:c>
      <x:c r="O87" s="14" t="n">
        <x:f>NETWORKDAYS(INT(C87),INT(E87),Guide!$E$5:$E$30)-1</x:f>
        <x:v>1</x:v>
      </x:c>
      <x:c r="P87" s="15" t="n">
        <x:f>(F87-C87)*24</x:f>
        <x:v>24.250000000116415</x:v>
      </x:c>
      <x:c r="Q87" s="15" t="n">
        <x:f>ROUND(((NETWORKDAYS(INT(E87),INT(F87),Guide!$E$5:$E$30)-1)*(Guide!$B$8-Guide!$B$7)+MOD(F87,1)-MOD(E87,1))*1440,2)</x:f>
        <x:v>440</x:v>
      </x:c>
      <x:c r="R87" s="14" t="n">
        <x:f>IF(INT(C87)=INT(F87),1,0)</x:f>
        <x:v>0</x:v>
      </x:c>
      <x:c r="S87" s="34" t="n">
        <x:f>WORKDAY(INT(C87),Guide!$B$5,Guide!$E$5:$E$30)+Guide!$B$8</x:f>
        <x:v>45916.708333333336</x:v>
      </x:c>
      <x:c r="T87" s="14" t="n">
        <x:f>IF(F87&lt;=S87,1,0)</x:f>
        <x:v>1</x:v>
      </x:c>
      <x:c r="U87" s="14" t="n">
        <x:f>IF(I87="","",IF(I87&lt;=Guide!$B$11,1,0))</x:f>
        <x:v>0</x:v>
      </x:c>
      <x:c r="V87" s="14" t="n">
        <x:f>IF(OR(N87=0,H87=1,U87=1),1,0)</x:f>
        <x:v>0</x:v>
      </x:c>
    </x:row>
    <x:row r="88" ht="25" customHeight="1">
      <x:c r="A88" s="31" t="str">
        <x:v>CASE-09-003</x:v>
      </x:c>
      <x:c r="B88" s="31" t="str">
        <x:v>EMP-01</x:v>
      </x:c>
      <x:c r="C88" s="32" t="n">
        <x:v>45910.555555555555</x:v>
      </x:c>
      <x:c r="D88" s="32" t="n">
        <x:v>45910.572916666664</x:v>
      </x:c>
      <x:c r="E88" s="32" t="n">
        <x:v>45910.614583333336</x:v>
      </x:c>
      <x:c r="F88" s="32" t="n">
        <x:v>45910.70138888889</x:v>
      </x:c>
      <x:c r="G88" s="33" t="n">
        <x:v>100000</x:v>
      </x:c>
      <x:c r="H88" s="31" t="n">
        <x:v>0</x:v>
      </x:c>
      <x:c r="I88" s="31" t="n">
        <x:v>4</x:v>
      </x:c>
      <x:c r="J88" s="31" t="str">
        <x:v>Positive</x:v>
      </x:c>
      <x:c r="K88" s="31" t="str">
        <x:v>None</x:v>
      </x:c>
      <x:c r="L88" s="31" t="str">
        <x:v>Customer reports a clear and helpful resolution.</x:v>
      </x:c>
      <x:c r="M88" s="15" t="n">
        <x:f>ROUND(((NETWORKDAYS(INT(C88),INT(D88),Guide!$E$5:$E$30)-1)*(Guide!$B$8-Guide!$B$7)+MOD(D88,1)-MOD(C88,1))*1440,2)</x:f>
        <x:v>25</x:v>
      </x:c>
      <x:c r="N88" s="14" t="n">
        <x:f>IF(M88&lt;=Guide!$B$6,1,0)</x:f>
        <x:v>1</x:v>
      </x:c>
      <x:c r="O88" s="14" t="n">
        <x:f>NETWORKDAYS(INT(C88),INT(E88),Guide!$E$5:$E$30)-1</x:f>
        <x:v>0</x:v>
      </x:c>
      <x:c r="P88" s="15" t="n">
        <x:f>(F88-C88)*24</x:f>
        <x:v>3.5000000000582077</x:v>
      </x:c>
      <x:c r="Q88" s="15" t="n">
        <x:f>ROUND(((NETWORKDAYS(INT(E88),INT(F88),Guide!$E$5:$E$30)-1)*(Guide!$B$8-Guide!$B$7)+MOD(F88,1)-MOD(E88,1))*1440,2)</x:f>
        <x:v>125</x:v>
      </x:c>
      <x:c r="R88" s="14" t="n">
        <x:f>IF(INT(C88)=INT(F88),1,0)</x:f>
        <x:v>1</x:v>
      </x:c>
      <x:c r="S88" s="34" t="n">
        <x:f>WORKDAY(INT(C88),Guide!$B$5,Guide!$E$5:$E$30)+Guide!$B$8</x:f>
        <x:v>45917.708333333336</x:v>
      </x:c>
      <x:c r="T88" s="14" t="n">
        <x:f>IF(F88&lt;=S88,1,0)</x:f>
        <x:v>1</x:v>
      </x:c>
      <x:c r="U88" s="14" t="n">
        <x:f>IF(I88="","",IF(I88&lt;=Guide!$B$11,1,0))</x:f>
        <x:v>0</x:v>
      </x:c>
      <x:c r="V88" s="14" t="n">
        <x:f>IF(OR(N88=0,H88=1,U88=1),1,0)</x:f>
        <x:v>0</x:v>
      </x:c>
    </x:row>
    <x:row r="89" ht="25" customHeight="1">
      <x:c r="A89" s="31" t="str">
        <x:v>CASE-09-004</x:v>
      </x:c>
      <x:c r="B89" s="31" t="str">
        <x:v>EMP-01</x:v>
      </x:c>
      <x:c r="C89" s="32" t="n">
        <x:v>45912.381944444445</x:v>
      </x:c>
      <x:c r="D89" s="32" t="n">
        <x:v>45912.395833333336</x:v>
      </x:c>
      <x:c r="E89" s="32" t="n">
        <x:v>45912.427083333336</x:v>
      </x:c>
      <x:c r="F89" s="32" t="n">
        <x:v>45912.70138888889</x:v>
      </x:c>
      <x:c r="G89" s="33" t="n">
        <x:v>1000000</x:v>
      </x:c>
      <x:c r="H89" s="31" t="n">
        <x:v>0</x:v>
      </x:c>
      <x:c r="I89" s="31" t="n">
        <x:v>5</x:v>
      </x:c>
      <x:c r="J89" s="31" t="str">
        <x:v>Positive</x:v>
      </x:c>
      <x:c r="K89" s="31" t="str">
        <x:v>None</x:v>
      </x:c>
      <x:c r="L89" s="31" t="str">
        <x:v>Customer reports a clear and helpful resolution.</x:v>
      </x:c>
      <x:c r="M89" s="15" t="n">
        <x:f>ROUND(((NETWORKDAYS(INT(C89),INT(D89),Guide!$E$5:$E$30)-1)*(Guide!$B$8-Guide!$B$7)+MOD(D89,1)-MOD(C89,1))*1440,2)</x:f>
        <x:v>20</x:v>
      </x:c>
      <x:c r="N89" s="14" t="n">
        <x:f>IF(M89&lt;=Guide!$B$6,1,0)</x:f>
        <x:v>1</x:v>
      </x:c>
      <x:c r="O89" s="14" t="n">
        <x:f>NETWORKDAYS(INT(C89),INT(E89),Guide!$E$5:$E$30)-1</x:f>
        <x:v>0</x:v>
      </x:c>
      <x:c r="P89" s="15" t="n">
        <x:f>(F89-C89)*24</x:f>
        <x:v>7.666666666686069</x:v>
      </x:c>
      <x:c r="Q89" s="15" t="n">
        <x:f>ROUND(((NETWORKDAYS(INT(E89),INT(F89),Guide!$E$5:$E$30)-1)*(Guide!$B$8-Guide!$B$7)+MOD(F89,1)-MOD(E89,1))*1440,2)</x:f>
        <x:v>395</x:v>
      </x:c>
      <x:c r="R89" s="14" t="n">
        <x:f>IF(INT(C89)=INT(F89),1,0)</x:f>
        <x:v>1</x:v>
      </x:c>
      <x:c r="S89" s="34" t="n">
        <x:f>WORKDAY(INT(C89),Guide!$B$5,Guide!$E$5:$E$30)+Guide!$B$8</x:f>
        <x:v>45919.708333333336</x:v>
      </x:c>
      <x:c r="T89" s="14" t="n">
        <x:f>IF(F89&lt;=S89,1,0)</x:f>
        <x:v>1</x:v>
      </x:c>
      <x:c r="U89" s="14" t="n">
        <x:f>IF(I89="","",IF(I89&lt;=Guide!$B$11,1,0))</x:f>
        <x:v>0</x:v>
      </x:c>
      <x:c r="V89" s="14" t="n">
        <x:f>IF(OR(N89=0,H89=1,U89=1),1,0)</x:f>
        <x:v>0</x:v>
      </x:c>
    </x:row>
    <x:row r="90" ht="25" customHeight="1">
      <x:c r="A90" s="31" t="str">
        <x:v>CASE-09-005</x:v>
      </x:c>
      <x:c r="B90" s="31" t="str">
        <x:v>EMP-01</x:v>
      </x:c>
      <x:c r="C90" s="32" t="n">
        <x:v>45915.54861111111</x:v>
      </x:c>
      <x:c r="D90" s="32" t="n">
        <x:v>45915.55902777778</x:v>
      </x:c>
      <x:c r="E90" s="32" t="n">
        <x:v>45915.600694444445</x:v>
      </x:c>
      <x:c r="F90" s="32" t="n">
        <x:v>45915.70138888889</x:v>
      </x:c>
      <x:c r="G90" s="33" t="n">
        <x:v>3000000</x:v>
      </x:c>
      <x:c r="H90" s="31" t="n">
        <x:v>0</x:v>
      </x:c>
      <x:c r="I90" s="31"/>
      <x:c r="J90" s="31" t="str">
        <x:v>No feedback</x:v>
      </x:c>
      <x:c r="K90" s="31" t="str">
        <x:v>Not assessed</x:v>
      </x:c>
      <x:c r="L90" s="31" t="str">
        <x:v>No survey response.</x:v>
      </x:c>
      <x:c r="M90" s="15" t="n">
        <x:f>ROUND(((NETWORKDAYS(INT(C90),INT(D90),Guide!$E$5:$E$30)-1)*(Guide!$B$8-Guide!$B$7)+MOD(D90,1)-MOD(C90,1))*1440,2)</x:f>
        <x:v>15</x:v>
      </x:c>
      <x:c r="N90" s="14" t="n">
        <x:f>IF(M90&lt;=Guide!$B$6,1,0)</x:f>
        <x:v>1</x:v>
      </x:c>
      <x:c r="O90" s="14" t="n">
        <x:f>NETWORKDAYS(INT(C90),INT(E90),Guide!$E$5:$E$30)-1</x:f>
        <x:v>0</x:v>
      </x:c>
      <x:c r="P90" s="15" t="n">
        <x:f>(F90-C90)*24</x:f>
        <x:v>3.666666666744277</x:v>
      </x:c>
      <x:c r="Q90" s="15" t="n">
        <x:f>ROUND(((NETWORKDAYS(INT(E90),INT(F90),Guide!$E$5:$E$30)-1)*(Guide!$B$8-Guide!$B$7)+MOD(F90,1)-MOD(E90,1))*1440,2)</x:f>
        <x:v>145</x:v>
      </x:c>
      <x:c r="R90" s="14" t="n">
        <x:f>IF(INT(C90)=INT(F90),1,0)</x:f>
        <x:v>1</x:v>
      </x:c>
      <x:c r="S90" s="34" t="n">
        <x:f>WORKDAY(INT(C90),Guide!$B$5,Guide!$E$5:$E$30)+Guide!$B$8</x:f>
        <x:v>45922.708333333336</x:v>
      </x:c>
      <x:c r="T90" s="14" t="n">
        <x:f>IF(F90&lt;=S90,1,0)</x:f>
        <x:v>1</x:v>
      </x:c>
      <x:c r="U90" s="14" t="str">
        <x:f>IF(I90="","",IF(I90&lt;=Guide!$B$11,1,0))</x:f>
      </x:c>
      <x:c r="V90" s="14" t="n">
        <x:f>IF(OR(N90=0,H90=1,U90=1),1,0)</x:f>
        <x:v>0</x:v>
      </x:c>
    </x:row>
    <x:row r="91" ht="25" customHeight="1">
      <x:c r="A91" s="31" t="str">
        <x:v>CASE-09-006</x:v>
      </x:c>
      <x:c r="B91" s="31" t="str">
        <x:v>EMP-01</x:v>
      </x:c>
      <x:c r="C91" s="32" t="n">
        <x:v>45916.354166666664</x:v>
      </x:c>
      <x:c r="D91" s="32" t="n">
        <x:v>45916.364583333336</x:v>
      </x:c>
      <x:c r="E91" s="32" t="n">
        <x:v>45916.395833333336</x:v>
      </x:c>
      <x:c r="F91" s="32" t="n">
        <x:v>45916.70138888889</x:v>
      </x:c>
      <x:c r="G91" s="33" t="n">
        <x:v>5000000</x:v>
      </x:c>
      <x:c r="H91" s="31" t="n">
        <x:v>0</x:v>
      </x:c>
      <x:c r="I91" s="31" t="n">
        <x:v>5</x:v>
      </x:c>
      <x:c r="J91" s="31" t="str">
        <x:v>Positive</x:v>
      </x:c>
      <x:c r="K91" s="31" t="str">
        <x:v>None</x:v>
      </x:c>
      <x:c r="L91" s="31" t="str">
        <x:v>Customer reports a clear and helpful resolution.</x:v>
      </x:c>
      <x:c r="M91" s="15" t="n">
        <x:f>ROUND(((NETWORKDAYS(INT(C91),INT(D91),Guide!$E$5:$E$30)-1)*(Guide!$B$8-Guide!$B$7)+MOD(D91,1)-MOD(C91,1))*1440,2)</x:f>
        <x:v>15</x:v>
      </x:c>
      <x:c r="N91" s="14" t="n">
        <x:f>IF(M91&lt;=Guide!$B$6,1,0)</x:f>
        <x:v>1</x:v>
      </x:c>
      <x:c r="O91" s="14" t="n">
        <x:f>NETWORKDAYS(INT(C91),INT(E91),Guide!$E$5:$E$30)-1</x:f>
        <x:v>0</x:v>
      </x:c>
      <x:c r="P91" s="15" t="n">
        <x:f>(F91-C91)*24</x:f>
        <x:v>8.333333333430346</x:v>
      </x:c>
      <x:c r="Q91" s="15" t="n">
        <x:f>ROUND(((NETWORKDAYS(INT(E91),INT(F91),Guide!$E$5:$E$30)-1)*(Guide!$B$8-Guide!$B$7)+MOD(F91,1)-MOD(E91,1))*1440,2)</x:f>
        <x:v>440</x:v>
      </x:c>
      <x:c r="R91" s="14" t="n">
        <x:f>IF(INT(C91)=INT(F91),1,0)</x:f>
        <x:v>1</x:v>
      </x:c>
      <x:c r="S91" s="34" t="n">
        <x:f>WORKDAY(INT(C91),Guide!$B$5,Guide!$E$5:$E$30)+Guide!$B$8</x:f>
        <x:v>45923.708333333336</x:v>
      </x:c>
      <x:c r="T91" s="14" t="n">
        <x:f>IF(F91&lt;=S91,1,0)</x:f>
        <x:v>1</x:v>
      </x:c>
      <x:c r="U91" s="14" t="n">
        <x:f>IF(I91="","",IF(I91&lt;=Guide!$B$11,1,0))</x:f>
        <x:v>0</x:v>
      </x:c>
      <x:c r="V91" s="14" t="n">
        <x:f>IF(OR(N91=0,H91=1,U91=1),1,0)</x:f>
        <x:v>0</x:v>
      </x:c>
    </x:row>
    <x:row r="92" ht="25" customHeight="1">
      <x:c r="A92" s="31" t="str">
        <x:v>CASE-09-007</x:v>
      </x:c>
      <x:c r="B92" s="31" t="str">
        <x:v>EMP-01</x:v>
      </x:c>
      <x:c r="C92" s="32" t="n">
        <x:v>45918.34722222222</x:v>
      </x:c>
      <x:c r="D92" s="32" t="n">
        <x:v>45918.35763888889</x:v>
      </x:c>
      <x:c r="E92" s="32" t="n">
        <x:v>45918.37152777778</x:v>
      </x:c>
      <x:c r="F92" s="32" t="n">
        <x:v>45918.70138888889</x:v>
      </x:c>
      <x:c r="G92" s="33" t="n">
        <x:v>1000000</x:v>
      </x:c>
      <x:c r="H92" s="31" t="n">
        <x:v>0</x:v>
      </x:c>
      <x:c r="I92" s="31" t="n">
        <x:v>5</x:v>
      </x:c>
      <x:c r="J92" s="31" t="str">
        <x:v>Positive</x:v>
      </x:c>
      <x:c r="K92" s="31" t="str">
        <x:v>None</x:v>
      </x:c>
      <x:c r="L92" s="31" t="str">
        <x:v>Customer reports a clear and helpful resolution.</x:v>
      </x:c>
      <x:c r="M92" s="15" t="n">
        <x:f>ROUND(((NETWORKDAYS(INT(C92),INT(D92),Guide!$E$5:$E$30)-1)*(Guide!$B$8-Guide!$B$7)+MOD(D92,1)-MOD(C92,1))*1440,2)</x:f>
        <x:v>15</x:v>
      </x:c>
      <x:c r="N92" s="14" t="n">
        <x:f>IF(M92&lt;=Guide!$B$6,1,0)</x:f>
        <x:v>1</x:v>
      </x:c>
      <x:c r="O92" s="14" t="n">
        <x:f>NETWORKDAYS(INT(C92),INT(E92),Guide!$E$5:$E$30)-1</x:f>
        <x:v>0</x:v>
      </x:c>
      <x:c r="P92" s="15" t="n">
        <x:f>(F92-C92)*24</x:f>
        <x:v>8.500000000116415</x:v>
      </x:c>
      <x:c r="Q92" s="15" t="n">
        <x:f>ROUND(((NETWORKDAYS(INT(E92),INT(F92),Guide!$E$5:$E$30)-1)*(Guide!$B$8-Guide!$B$7)+MOD(F92,1)-MOD(E92,1))*1440,2)</x:f>
        <x:v>475</x:v>
      </x:c>
      <x:c r="R92" s="14" t="n">
        <x:f>IF(INT(C92)=INT(F92),1,0)</x:f>
        <x:v>1</x:v>
      </x:c>
      <x:c r="S92" s="34" t="n">
        <x:f>WORKDAY(INT(C92),Guide!$B$5,Guide!$E$5:$E$30)+Guide!$B$8</x:f>
        <x:v>45925.708333333336</x:v>
      </x:c>
      <x:c r="T92" s="14" t="n">
        <x:f>IF(F92&lt;=S92,1,0)</x:f>
        <x:v>1</x:v>
      </x:c>
      <x:c r="U92" s="14" t="n">
        <x:f>IF(I92="","",IF(I92&lt;=Guide!$B$11,1,0))</x:f>
        <x:v>0</x:v>
      </x:c>
      <x:c r="V92" s="14" t="n">
        <x:f>IF(OR(N92=0,H92=1,U92=1),1,0)</x:f>
        <x:v>0</x:v>
      </x:c>
    </x:row>
    <x:row r="93" ht="25" customHeight="1">
      <x:c r="A93" s="31" t="str">
        <x:v>CASE-09-008</x:v>
      </x:c>
      <x:c r="B93" s="31" t="str">
        <x:v>EMP-01</x:v>
      </x:c>
      <x:c r="C93" s="32" t="n">
        <x:v>45922.694444444445</x:v>
      </x:c>
      <x:c r="D93" s="32" t="n">
        <x:v>45923.336805555555</x:v>
      </x:c>
      <x:c r="E93" s="32" t="n">
        <x:v>45923.395833333336</x:v>
      </x:c>
      <x:c r="F93" s="32" t="n">
        <x:v>45923.70138888889</x:v>
      </x:c>
      <x:c r="G93" s="33" t="n">
        <x:v>200000</x:v>
      </x:c>
      <x:c r="H93" s="31" t="n">
        <x:v>1</x:v>
      </x:c>
      <x:c r="I93" s="31" t="n">
        <x:v>5</x:v>
      </x:c>
      <x:c r="J93" s="31" t="str">
        <x:v>Positive</x:v>
      </x:c>
      <x:c r="K93" s="31" t="str">
        <x:v>None</x:v>
      </x:c>
      <x:c r="L93" s="31" t="str">
        <x:v>Customer reports a clear and helpful resolution.</x:v>
      </x:c>
      <x:c r="M93" s="15" t="n">
        <x:f>ROUND(((NETWORKDAYS(INT(C93),INT(D93),Guide!$E$5:$E$30)-1)*(Guide!$B$8-Guide!$B$7)+MOD(D93,1)-MOD(C93,1))*1440,2)</x:f>
        <x:v>25</x:v>
      </x:c>
      <x:c r="N93" s="14" t="n">
        <x:f>IF(M93&lt;=Guide!$B$6,1,0)</x:f>
        <x:v>1</x:v>
      </x:c>
      <x:c r="O93" s="14" t="n">
        <x:f>NETWORKDAYS(INT(C93),INT(E93),Guide!$E$5:$E$30)-1</x:f>
        <x:v>1</x:v>
      </x:c>
      <x:c r="P93" s="15" t="n">
        <x:f>(F93-C93)*24</x:f>
        <x:v>24.16666666668607</x:v>
      </x:c>
      <x:c r="Q93" s="15" t="n">
        <x:f>ROUND(((NETWORKDAYS(INT(E93),INT(F93),Guide!$E$5:$E$30)-1)*(Guide!$B$8-Guide!$B$7)+MOD(F93,1)-MOD(E93,1))*1440,2)</x:f>
        <x:v>440</x:v>
      </x:c>
      <x:c r="R93" s="14" t="n">
        <x:f>IF(INT(C93)=INT(F93),1,0)</x:f>
        <x:v>0</x:v>
      </x:c>
      <x:c r="S93" s="34" t="n">
        <x:f>WORKDAY(INT(C93),Guide!$B$5,Guide!$E$5:$E$30)+Guide!$B$8</x:f>
        <x:v>45929.708333333336</x:v>
      </x:c>
      <x:c r="T93" s="14" t="n">
        <x:f>IF(F93&lt;=S93,1,0)</x:f>
        <x:v>1</x:v>
      </x:c>
      <x:c r="U93" s="14" t="n">
        <x:f>IF(I93="","",IF(I93&lt;=Guide!$B$11,1,0))</x:f>
        <x:v>0</x:v>
      </x:c>
      <x:c r="V93" s="14" t="n">
        <x:f>IF(OR(N93=0,H93=1,U93=1),1,0)</x:f>
        <x:v>1</x:v>
      </x:c>
    </x:row>
    <x:row r="94" ht="25" customHeight="1">
      <x:c r="A94" s="31" t="str">
        <x:v>CASE-09-009</x:v>
      </x:c>
      <x:c r="B94" s="31" t="str">
        <x:v>EMP-01</x:v>
      </x:c>
      <x:c r="C94" s="32" t="n">
        <x:v>45924.47222222222</x:v>
      </x:c>
      <x:c r="D94" s="32" t="n">
        <x:v>45924.489583333336</x:v>
      </x:c>
      <x:c r="E94" s="32" t="n">
        <x:v>45924.510416666664</x:v>
      </x:c>
      <x:c r="F94" s="32" t="n">
        <x:v>45924.70138888889</x:v>
      </x:c>
      <x:c r="G94" s="33" t="n">
        <x:v>2000000</x:v>
      </x:c>
      <x:c r="H94" s="31" t="n">
        <x:v>0</x:v>
      </x:c>
      <x:c r="I94" s="31" t="n">
        <x:v>5</x:v>
      </x:c>
      <x:c r="J94" s="31" t="str">
        <x:v>Positive</x:v>
      </x:c>
      <x:c r="K94" s="31" t="str">
        <x:v>None</x:v>
      </x:c>
      <x:c r="L94" s="31" t="str">
        <x:v>Customer reports a clear and helpful resolution.</x:v>
      </x:c>
      <x:c r="M94" s="15" t="n">
        <x:f>ROUND(((NETWORKDAYS(INT(C94),INT(D94),Guide!$E$5:$E$30)-1)*(Guide!$B$8-Guide!$B$7)+MOD(D94,1)-MOD(C94,1))*1440,2)</x:f>
        <x:v>25</x:v>
      </x:c>
      <x:c r="N94" s="14" t="n">
        <x:f>IF(M94&lt;=Guide!$B$6,1,0)</x:f>
        <x:v>1</x:v>
      </x:c>
      <x:c r="O94" s="14" t="n">
        <x:f>NETWORKDAYS(INT(C94),INT(E94),Guide!$E$5:$E$30)-1</x:f>
        <x:v>0</x:v>
      </x:c>
      <x:c r="P94" s="15" t="n">
        <x:f>(F94-C94)*24</x:f>
        <x:v>5.500000000116415</x:v>
      </x:c>
      <x:c r="Q94" s="15" t="n">
        <x:f>ROUND(((NETWORKDAYS(INT(E94),INT(F94),Guide!$E$5:$E$30)-1)*(Guide!$B$8-Guide!$B$7)+MOD(F94,1)-MOD(E94,1))*1440,2)</x:f>
        <x:v>275</x:v>
      </x:c>
      <x:c r="R94" s="14" t="n">
        <x:f>IF(INT(C94)=INT(F94),1,0)</x:f>
        <x:v>1</x:v>
      </x:c>
      <x:c r="S94" s="34" t="n">
        <x:f>WORKDAY(INT(C94),Guide!$B$5,Guide!$E$5:$E$30)+Guide!$B$8</x:f>
        <x:v>45931.708333333336</x:v>
      </x:c>
      <x:c r="T94" s="14" t="n">
        <x:f>IF(F94&lt;=S94,1,0)</x:f>
        <x:v>1</x:v>
      </x:c>
      <x:c r="U94" s="14" t="n">
        <x:f>IF(I94="","",IF(I94&lt;=Guide!$B$11,1,0))</x:f>
        <x:v>0</x:v>
      </x:c>
      <x:c r="V94" s="14" t="n">
        <x:f>IF(OR(N94=0,H94=1,U94=1),1,0)</x:f>
        <x:v>0</x:v>
      </x:c>
    </x:row>
    <x:row r="95" ht="25" customHeight="1">
      <x:c r="A95" s="31" t="str">
        <x:v>CASE-09-010</x:v>
      </x:c>
      <x:c r="B95" s="31" t="str">
        <x:v>EMP-01</x:v>
      </x:c>
      <x:c r="C95" s="32" t="n">
        <x:v>45925.59722222222</x:v>
      </x:c>
      <x:c r="D95" s="32" t="n">
        <x:v>45925.600694444445</x:v>
      </x:c>
      <x:c r="E95" s="32" t="n">
        <x:v>45925.631944444445</x:v>
      </x:c>
      <x:c r="F95" s="32" t="n">
        <x:v>45925.70138888889</x:v>
      </x:c>
      <x:c r="G95" s="33" t="n">
        <x:v>100000</x:v>
      </x:c>
      <x:c r="H95" s="31" t="n">
        <x:v>0</x:v>
      </x:c>
      <x:c r="I95" s="31"/>
      <x:c r="J95" s="31" t="str">
        <x:v>No feedback</x:v>
      </x:c>
      <x:c r="K95" s="31" t="str">
        <x:v>Not assessed</x:v>
      </x:c>
      <x:c r="L95" s="31" t="str">
        <x:v>No survey response.</x:v>
      </x:c>
      <x:c r="M95" s="15" t="n">
        <x:f>ROUND(((NETWORKDAYS(INT(C95),INT(D95),Guide!$E$5:$E$30)-1)*(Guide!$B$8-Guide!$B$7)+MOD(D95,1)-MOD(C95,1))*1440,2)</x:f>
        <x:v>5</x:v>
      </x:c>
      <x:c r="N95" s="14" t="n">
        <x:f>IF(M95&lt;=Guide!$B$6,1,0)</x:f>
        <x:v>1</x:v>
      </x:c>
      <x:c r="O95" s="14" t="n">
        <x:f>NETWORKDAYS(INT(C95),INT(E95),Guide!$E$5:$E$30)-1</x:f>
        <x:v>0</x:v>
      </x:c>
      <x:c r="P95" s="15" t="n">
        <x:f>(F95-C95)*24</x:f>
        <x:v>2.5000000001164153</x:v>
      </x:c>
      <x:c r="Q95" s="15" t="n">
        <x:f>ROUND(((NETWORKDAYS(INT(E95),INT(F95),Guide!$E$5:$E$30)-1)*(Guide!$B$8-Guide!$B$7)+MOD(F95,1)-MOD(E95,1))*1440,2)</x:f>
        <x:v>100</x:v>
      </x:c>
      <x:c r="R95" s="14" t="n">
        <x:f>IF(INT(C95)=INT(F95),1,0)</x:f>
        <x:v>1</x:v>
      </x:c>
      <x:c r="S95" s="34" t="n">
        <x:f>WORKDAY(INT(C95),Guide!$B$5,Guide!$E$5:$E$30)+Guide!$B$8</x:f>
        <x:v>45932.708333333336</x:v>
      </x:c>
      <x:c r="T95" s="14" t="n">
        <x:f>IF(F95&lt;=S95,1,0)</x:f>
        <x:v>1</x:v>
      </x:c>
      <x:c r="U95" s="14" t="str">
        <x:f>IF(I95="","",IF(I95&lt;=Guide!$B$11,1,0))</x:f>
      </x:c>
      <x:c r="V95" s="14" t="n">
        <x:f>IF(OR(N95=0,H95=1,U95=1),1,0)</x:f>
        <x:v>0</x:v>
      </x:c>
    </x:row>
    <x:row r="96" ht="25" customHeight="1">
      <x:c r="A96" s="31" t="str">
        <x:v>CASE-10-001</x:v>
      </x:c>
      <x:c r="B96" s="31" t="str">
        <x:v>EMP-01</x:v>
      </x:c>
      <x:c r="C96" s="32" t="n">
        <x:v>45932.375</x:v>
      </x:c>
      <x:c r="D96" s="32" t="n">
        <x:v>45932.395833333336</x:v>
      </x:c>
      <x:c r="E96" s="32" t="n">
        <x:v>45932.427083333336</x:v>
      </x:c>
      <x:c r="F96" s="32" t="n">
        <x:v>45932.70138888889</x:v>
      </x:c>
      <x:c r="G96" s="33" t="n">
        <x:v>200000</x:v>
      </x:c>
      <x:c r="H96" s="31" t="n">
        <x:v>0</x:v>
      </x:c>
      <x:c r="I96" s="31" t="n">
        <x:v>5</x:v>
      </x:c>
      <x:c r="J96" s="31" t="str">
        <x:v>Positive</x:v>
      </x:c>
      <x:c r="K96" s="31" t="str">
        <x:v>None</x:v>
      </x:c>
      <x:c r="L96" s="31" t="str">
        <x:v>Customer reports a clear and helpful resolution.</x:v>
      </x:c>
      <x:c r="M96" s="15" t="n">
        <x:f>ROUND(((NETWORKDAYS(INT(C96),INT(D96),Guide!$E$5:$E$30)-1)*(Guide!$B$8-Guide!$B$7)+MOD(D96,1)-MOD(C96,1))*1440,2)</x:f>
        <x:v>30</x:v>
      </x:c>
      <x:c r="N96" s="14" t="n">
        <x:f>IF(M96&lt;=Guide!$B$6,1,0)</x:f>
        <x:v>1</x:v>
      </x:c>
      <x:c r="O96" s="14" t="n">
        <x:f>NETWORKDAYS(INT(C96),INT(E96),Guide!$E$5:$E$30)-1</x:f>
        <x:v>0</x:v>
      </x:c>
      <x:c r="P96" s="15" t="n">
        <x:f>(F96-C96)*24</x:f>
        <x:v>7.833333333372138</x:v>
      </x:c>
      <x:c r="Q96" s="15" t="n">
        <x:f>ROUND(((NETWORKDAYS(INT(E96),INT(F96),Guide!$E$5:$E$30)-1)*(Guide!$B$8-Guide!$B$7)+MOD(F96,1)-MOD(E96,1))*1440,2)</x:f>
        <x:v>395</x:v>
      </x:c>
      <x:c r="R96" s="14" t="n">
        <x:f>IF(INT(C96)=INT(F96),1,0)</x:f>
        <x:v>1</x:v>
      </x:c>
      <x:c r="S96" s="34" t="n">
        <x:f>WORKDAY(INT(C96),Guide!$B$5,Guide!$E$5:$E$30)+Guide!$B$8</x:f>
        <x:v>45939.708333333336</x:v>
      </x:c>
      <x:c r="T96" s="14" t="n">
        <x:f>IF(F96&lt;=S96,1,0)</x:f>
        <x:v>1</x:v>
      </x:c>
      <x:c r="U96" s="14" t="n">
        <x:f>IF(I96="","",IF(I96&lt;=Guide!$B$11,1,0))</x:f>
        <x:v>0</x:v>
      </x:c>
      <x:c r="V96" s="14" t="n">
        <x:f>IF(OR(N96=0,H96=1,U96=1),1,0)</x:f>
        <x:v>0</x:v>
      </x:c>
    </x:row>
    <x:row r="97" ht="25" customHeight="1">
      <x:c r="A97" s="31" t="str">
        <x:v>CASE-10-002</x:v>
      </x:c>
      <x:c r="B97" s="31" t="str">
        <x:v>EMP-01</x:v>
      </x:c>
      <x:c r="C97" s="32" t="n">
        <x:v>45936.69097222222</x:v>
      </x:c>
      <x:c r="D97" s="32" t="n">
        <x:v>45936.70138888889</x:v>
      </x:c>
      <x:c r="E97" s="32" t="n">
        <x:v>45937.38888888889</x:v>
      </x:c>
      <x:c r="F97" s="32" t="n">
        <x:v>45937.70138888889</x:v>
      </x:c>
      <x:c r="G97" s="33" t="n">
        <x:v>5000000</x:v>
      </x:c>
      <x:c r="H97" s="31" t="n">
        <x:v>0</x:v>
      </x:c>
      <x:c r="I97" s="31" t="n">
        <x:v>5</x:v>
      </x:c>
      <x:c r="J97" s="31" t="str">
        <x:v>Positive</x:v>
      </x:c>
      <x:c r="K97" s="31" t="str">
        <x:v>None</x:v>
      </x:c>
      <x:c r="L97" s="31" t="str">
        <x:v>Customer reports a clear and helpful resolution.</x:v>
      </x:c>
      <x:c r="M97" s="15" t="n">
        <x:f>ROUND(((NETWORKDAYS(INT(C97),INT(D97),Guide!$E$5:$E$30)-1)*(Guide!$B$8-Guide!$B$7)+MOD(D97,1)-MOD(C97,1))*1440,2)</x:f>
        <x:v>15</x:v>
      </x:c>
      <x:c r="N97" s="14" t="n">
        <x:f>IF(M97&lt;=Guide!$B$6,1,0)</x:f>
        <x:v>1</x:v>
      </x:c>
      <x:c r="O97" s="14" t="n">
        <x:f>NETWORKDAYS(INT(C97),INT(E97),Guide!$E$5:$E$30)-1</x:f>
        <x:v>1</x:v>
      </x:c>
      <x:c r="P97" s="15" t="n">
        <x:f>(F97-C97)*24</x:f>
        <x:v>24.250000000116415</x:v>
      </x:c>
      <x:c r="Q97" s="15" t="n">
        <x:f>ROUND(((NETWORKDAYS(INT(E97),INT(F97),Guide!$E$5:$E$30)-1)*(Guide!$B$8-Guide!$B$7)+MOD(F97,1)-MOD(E97,1))*1440,2)</x:f>
        <x:v>450</x:v>
      </x:c>
      <x:c r="R97" s="14" t="n">
        <x:f>IF(INT(C97)=INT(F97),1,0)</x:f>
        <x:v>0</x:v>
      </x:c>
      <x:c r="S97" s="34" t="n">
        <x:f>WORKDAY(INT(C97),Guide!$B$5,Guide!$E$5:$E$30)+Guide!$B$8</x:f>
        <x:v>45943.708333333336</x:v>
      </x:c>
      <x:c r="T97" s="14" t="n">
        <x:f>IF(F97&lt;=S97,1,0)</x:f>
        <x:v>1</x:v>
      </x:c>
      <x:c r="U97" s="14" t="n">
        <x:f>IF(I97="","",IF(I97&lt;=Guide!$B$11,1,0))</x:f>
        <x:v>0</x:v>
      </x:c>
      <x:c r="V97" s="14" t="n">
        <x:f>IF(OR(N97=0,H97=1,U97=1),1,0)</x:f>
        <x:v>0</x:v>
      </x:c>
    </x:row>
    <x:row r="98" ht="25" customHeight="1">
      <x:c r="A98" s="31" t="str">
        <x:v>CASE-10-003</x:v>
      </x:c>
      <x:c r="B98" s="31" t="str">
        <x:v>EMP-01</x:v>
      </x:c>
      <x:c r="C98" s="32" t="n">
        <x:v>45939.541666666664</x:v>
      </x:c>
      <x:c r="D98" s="32" t="n">
        <x:v>45939.55902777778</x:v>
      </x:c>
      <x:c r="E98" s="32" t="n">
        <x:v>45939.572916666664</x:v>
      </x:c>
      <x:c r="F98" s="32" t="n">
        <x:v>45939.70138888889</x:v>
      </x:c>
      <x:c r="G98" s="33" t="n">
        <x:v>200000</x:v>
      </x:c>
      <x:c r="H98" s="31" t="n">
        <x:v>0</x:v>
      </x:c>
      <x:c r="I98" s="31" t="n">
        <x:v>5</x:v>
      </x:c>
      <x:c r="J98" s="31" t="str">
        <x:v>Positive</x:v>
      </x:c>
      <x:c r="K98" s="31" t="str">
        <x:v>None</x:v>
      </x:c>
      <x:c r="L98" s="31" t="str">
        <x:v>Customer reports a clear and helpful resolution.</x:v>
      </x:c>
      <x:c r="M98" s="15" t="n">
        <x:f>ROUND(((NETWORKDAYS(INT(C98),INT(D98),Guide!$E$5:$E$30)-1)*(Guide!$B$8-Guide!$B$7)+MOD(D98,1)-MOD(C98,1))*1440,2)</x:f>
        <x:v>25</x:v>
      </x:c>
      <x:c r="N98" s="14" t="n">
        <x:f>IF(M98&lt;=Guide!$B$6,1,0)</x:f>
        <x:v>1</x:v>
      </x:c>
      <x:c r="O98" s="14" t="n">
        <x:f>NETWORKDAYS(INT(C98),INT(E98),Guide!$E$5:$E$30)-1</x:f>
        <x:v>0</x:v>
      </x:c>
      <x:c r="P98" s="15" t="n">
        <x:f>(F98-C98)*24</x:f>
        <x:v>3.833333333430346</x:v>
      </x:c>
      <x:c r="Q98" s="15" t="n">
        <x:f>ROUND(((NETWORKDAYS(INT(E98),INT(F98),Guide!$E$5:$E$30)-1)*(Guide!$B$8-Guide!$B$7)+MOD(F98,1)-MOD(E98,1))*1440,2)</x:f>
        <x:v>185</x:v>
      </x:c>
      <x:c r="R98" s="14" t="n">
        <x:f>IF(INT(C98)=INT(F98),1,0)</x:f>
        <x:v>1</x:v>
      </x:c>
      <x:c r="S98" s="34" t="n">
        <x:f>WORKDAY(INT(C98),Guide!$B$5,Guide!$E$5:$E$30)+Guide!$B$8</x:f>
        <x:v>45946.708333333336</x:v>
      </x:c>
      <x:c r="T98" s="14" t="n">
        <x:f>IF(F98&lt;=S98,1,0)</x:f>
        <x:v>1</x:v>
      </x:c>
      <x:c r="U98" s="14" t="n">
        <x:f>IF(I98="","",IF(I98&lt;=Guide!$B$11,1,0))</x:f>
        <x:v>0</x:v>
      </x:c>
      <x:c r="V98" s="14" t="n">
        <x:f>IF(OR(N98=0,H98=1,U98=1),1,0)</x:f>
        <x:v>0</x:v>
      </x:c>
    </x:row>
    <x:row r="99" ht="25" customHeight="1">
      <x:c r="A99" s="31" t="str">
        <x:v>CASE-10-004</x:v>
      </x:c>
      <x:c r="B99" s="31" t="str">
        <x:v>EMP-01</x:v>
      </x:c>
      <x:c r="C99" s="32" t="n">
        <x:v>45943.416666666664</x:v>
      </x:c>
      <x:c r="D99" s="32" t="n">
        <x:v>45943.4375</x:v>
      </x:c>
      <x:c r="E99" s="32" t="n">
        <x:v>45943.46875</x:v>
      </x:c>
      <x:c r="F99" s="32" t="n">
        <x:v>45943.70138888889</x:v>
      </x:c>
      <x:c r="G99" s="33" t="n">
        <x:v>500000</x:v>
      </x:c>
      <x:c r="H99" s="31" t="n">
        <x:v>0</x:v>
      </x:c>
      <x:c r="I99" s="31" t="n">
        <x:v>5</x:v>
      </x:c>
      <x:c r="J99" s="31" t="str">
        <x:v>Positive</x:v>
      </x:c>
      <x:c r="K99" s="31" t="str">
        <x:v>None</x:v>
      </x:c>
      <x:c r="L99" s="31" t="str">
        <x:v>Customer reports a clear and helpful resolution.</x:v>
      </x:c>
      <x:c r="M99" s="15" t="n">
        <x:f>ROUND(((NETWORKDAYS(INT(C99),INT(D99),Guide!$E$5:$E$30)-1)*(Guide!$B$8-Guide!$B$7)+MOD(D99,1)-MOD(C99,1))*1440,2)</x:f>
        <x:v>30</x:v>
      </x:c>
      <x:c r="N99" s="14" t="n">
        <x:f>IF(M99&lt;=Guide!$B$6,1,0)</x:f>
        <x:v>1</x:v>
      </x:c>
      <x:c r="O99" s="14" t="n">
        <x:f>NETWORKDAYS(INT(C99),INT(E99),Guide!$E$5:$E$30)-1</x:f>
        <x:v>0</x:v>
      </x:c>
      <x:c r="P99" s="15" t="n">
        <x:f>(F99-C99)*24</x:f>
        <x:v>6.833333333430346</x:v>
      </x:c>
      <x:c r="Q99" s="15" t="n">
        <x:f>ROUND(((NETWORKDAYS(INT(E99),INT(F99),Guide!$E$5:$E$30)-1)*(Guide!$B$8-Guide!$B$7)+MOD(F99,1)-MOD(E99,1))*1440,2)</x:f>
        <x:v>335</x:v>
      </x:c>
      <x:c r="R99" s="14" t="n">
        <x:f>IF(INT(C99)=INT(F99),1,0)</x:f>
        <x:v>1</x:v>
      </x:c>
      <x:c r="S99" s="34" t="n">
        <x:f>WORKDAY(INT(C99),Guide!$B$5,Guide!$E$5:$E$30)+Guide!$B$8</x:f>
        <x:v>45950.708333333336</x:v>
      </x:c>
      <x:c r="T99" s="14" t="n">
        <x:f>IF(F99&lt;=S99,1,0)</x:f>
        <x:v>1</x:v>
      </x:c>
      <x:c r="U99" s="14" t="n">
        <x:f>IF(I99="","",IF(I99&lt;=Guide!$B$11,1,0))</x:f>
        <x:v>0</x:v>
      </x:c>
      <x:c r="V99" s="14" t="n">
        <x:f>IF(OR(N99=0,H99=1,U99=1),1,0)</x:f>
        <x:v>0</x:v>
      </x:c>
    </x:row>
    <x:row r="100" ht="25" customHeight="1">
      <x:c r="A100" s="31" t="str">
        <x:v>CASE-10-005</x:v>
      </x:c>
      <x:c r="B100" s="31" t="str">
        <x:v>EMP-01</x:v>
      </x:c>
      <x:c r="C100" s="32" t="n">
        <x:v>45945.430555555555</x:v>
      </x:c>
      <x:c r="D100" s="32" t="n">
        <x:v>45945.43402777778</x:v>
      </x:c>
      <x:c r="E100" s="32" t="n">
        <x:v>45945.447916666664</x:v>
      </x:c>
      <x:c r="F100" s="32" t="n">
        <x:v>45945.70138888889</x:v>
      </x:c>
      <x:c r="G100" s="33" t="n">
        <x:v>500000</x:v>
      </x:c>
      <x:c r="H100" s="31" t="n">
        <x:v>0</x:v>
      </x:c>
      <x:c r="I100" s="31"/>
      <x:c r="J100" s="31" t="str">
        <x:v>No feedback</x:v>
      </x:c>
      <x:c r="K100" s="31" t="str">
        <x:v>Not assessed</x:v>
      </x:c>
      <x:c r="L100" s="31" t="str">
        <x:v>No survey response.</x:v>
      </x:c>
      <x:c r="M100" s="15" t="n">
        <x:f>ROUND(((NETWORKDAYS(INT(C100),INT(D100),Guide!$E$5:$E$30)-1)*(Guide!$B$8-Guide!$B$7)+MOD(D100,1)-MOD(C100,1))*1440,2)</x:f>
        <x:v>5</x:v>
      </x:c>
      <x:c r="N100" s="14" t="n">
        <x:f>IF(M100&lt;=Guide!$B$6,1,0)</x:f>
        <x:v>1</x:v>
      </x:c>
      <x:c r="O100" s="14" t="n">
        <x:f>NETWORKDAYS(INT(C100),INT(E100),Guide!$E$5:$E$30)-1</x:f>
        <x:v>0</x:v>
      </x:c>
      <x:c r="P100" s="15" t="n">
        <x:f>(F100-C100)*24</x:f>
        <x:v>6.500000000058208</x:v>
      </x:c>
      <x:c r="Q100" s="15" t="n">
        <x:f>ROUND(((NETWORKDAYS(INT(E100),INT(F100),Guide!$E$5:$E$30)-1)*(Guide!$B$8-Guide!$B$7)+MOD(F100,1)-MOD(E100,1))*1440,2)</x:f>
        <x:v>365</x:v>
      </x:c>
      <x:c r="R100" s="14" t="n">
        <x:f>IF(INT(C100)=INT(F100),1,0)</x:f>
        <x:v>1</x:v>
      </x:c>
      <x:c r="S100" s="34" t="n">
        <x:f>WORKDAY(INT(C100),Guide!$B$5,Guide!$E$5:$E$30)+Guide!$B$8</x:f>
        <x:v>45952.708333333336</x:v>
      </x:c>
      <x:c r="T100" s="14" t="n">
        <x:f>IF(F100&lt;=S100,1,0)</x:f>
        <x:v>1</x:v>
      </x:c>
      <x:c r="U100" s="14" t="str">
        <x:f>IF(I100="","",IF(I100&lt;=Guide!$B$11,1,0))</x:f>
      </x:c>
      <x:c r="V100" s="14" t="n">
        <x:f>IF(OR(N100=0,H100=1,U100=1),1,0)</x:f>
        <x:v>0</x:v>
      </x:c>
    </x:row>
    <x:row r="101" ht="25" customHeight="1">
      <x:c r="A101" s="31" t="str">
        <x:v>CASE-10-006</x:v>
      </x:c>
      <x:c r="B101" s="31" t="str">
        <x:v>EMP-01</x:v>
      </x:c>
      <x:c r="C101" s="32" t="n">
        <x:v>45946.4375</x:v>
      </x:c>
      <x:c r="D101" s="32" t="n">
        <x:v>45946.44097222222</x:v>
      </x:c>
      <x:c r="E101" s="32" t="n">
        <x:v>45946.45486111111</x:v>
      </x:c>
      <x:c r="F101" s="32" t="n">
        <x:v>45946.70138888889</x:v>
      </x:c>
      <x:c r="G101" s="33" t="n">
        <x:v>100000</x:v>
      </x:c>
      <x:c r="H101" s="31" t="n">
        <x:v>0</x:v>
      </x:c>
      <x:c r="I101" s="31" t="n">
        <x:v>4</x:v>
      </x:c>
      <x:c r="J101" s="31" t="str">
        <x:v>Positive</x:v>
      </x:c>
      <x:c r="K101" s="31" t="str">
        <x:v>None</x:v>
      </x:c>
      <x:c r="L101" s="31" t="str">
        <x:v>Customer reports a clear and helpful resolution.</x:v>
      </x:c>
      <x:c r="M101" s="15" t="n">
        <x:f>ROUND(((NETWORKDAYS(INT(C101),INT(D101),Guide!$E$5:$E$30)-1)*(Guide!$B$8-Guide!$B$7)+MOD(D101,1)-MOD(C101,1))*1440,2)</x:f>
        <x:v>5</x:v>
      </x:c>
      <x:c r="N101" s="14" t="n">
        <x:f>IF(M101&lt;=Guide!$B$6,1,0)</x:f>
        <x:v>1</x:v>
      </x:c>
      <x:c r="O101" s="14" t="n">
        <x:f>NETWORKDAYS(INT(C101),INT(E101),Guide!$E$5:$E$30)-1</x:f>
        <x:v>0</x:v>
      </x:c>
      <x:c r="P101" s="15" t="n">
        <x:f>(F101-C101)*24</x:f>
        <x:v>6.333333333372138</x:v>
      </x:c>
      <x:c r="Q101" s="15" t="n">
        <x:f>ROUND(((NETWORKDAYS(INT(E101),INT(F101),Guide!$E$5:$E$30)-1)*(Guide!$B$8-Guide!$B$7)+MOD(F101,1)-MOD(E101,1))*1440,2)</x:f>
        <x:v>355</x:v>
      </x:c>
      <x:c r="R101" s="14" t="n">
        <x:f>IF(INT(C101)=INT(F101),1,0)</x:f>
        <x:v>1</x:v>
      </x:c>
      <x:c r="S101" s="34" t="n">
        <x:f>WORKDAY(INT(C101),Guide!$B$5,Guide!$E$5:$E$30)+Guide!$B$8</x:f>
        <x:v>45953.708333333336</x:v>
      </x:c>
      <x:c r="T101" s="14" t="n">
        <x:f>IF(F101&lt;=S101,1,0)</x:f>
        <x:v>1</x:v>
      </x:c>
      <x:c r="U101" s="14" t="n">
        <x:f>IF(I101="","",IF(I101&lt;=Guide!$B$11,1,0))</x:f>
        <x:v>0</x:v>
      </x:c>
      <x:c r="V101" s="14" t="n">
        <x:f>IF(OR(N101=0,H101=1,U101=1),1,0)</x:f>
        <x:v>0</x:v>
      </x:c>
    </x:row>
    <x:row r="102" ht="25" customHeight="1">
      <x:c r="A102" s="31" t="str">
        <x:v>CASE-10-007</x:v>
      </x:c>
      <x:c r="B102" s="31" t="str">
        <x:v>EMP-01</x:v>
      </x:c>
      <x:c r="C102" s="32" t="n">
        <x:v>45950.34027777778</x:v>
      </x:c>
      <x:c r="D102" s="32" t="n">
        <x:v>45950.350694444445</x:v>
      </x:c>
      <x:c r="E102" s="32" t="n">
        <x:v>45950.39236111111</x:v>
      </x:c>
      <x:c r="F102" s="32" t="n">
        <x:v>45950.70138888889</x:v>
      </x:c>
      <x:c r="G102" s="33" t="n">
        <x:v>2000000</x:v>
      </x:c>
      <x:c r="H102" s="31" t="n">
        <x:v>0</x:v>
      </x:c>
      <x:c r="I102" s="31" t="n">
        <x:v>4</x:v>
      </x:c>
      <x:c r="J102" s="31" t="str">
        <x:v>Positive</x:v>
      </x:c>
      <x:c r="K102" s="31" t="str">
        <x:v>None</x:v>
      </x:c>
      <x:c r="L102" s="31" t="str">
        <x:v>Customer reports a clear and helpful resolution.</x:v>
      </x:c>
      <x:c r="M102" s="15" t="n">
        <x:f>ROUND(((NETWORKDAYS(INT(C102),INT(D102),Guide!$E$5:$E$30)-1)*(Guide!$B$8-Guide!$B$7)+MOD(D102,1)-MOD(C102,1))*1440,2)</x:f>
        <x:v>15</x:v>
      </x:c>
      <x:c r="N102" s="14" t="n">
        <x:f>IF(M102&lt;=Guide!$B$6,1,0)</x:f>
        <x:v>1</x:v>
      </x:c>
      <x:c r="O102" s="14" t="n">
        <x:f>NETWORKDAYS(INT(C102),INT(E102),Guide!$E$5:$E$30)-1</x:f>
        <x:v>0</x:v>
      </x:c>
      <x:c r="P102" s="15" t="n">
        <x:f>(F102-C102)*24</x:f>
        <x:v>8.666666666627862</x:v>
      </x:c>
      <x:c r="Q102" s="15" t="n">
        <x:f>ROUND(((NETWORKDAYS(INT(E102),INT(F102),Guide!$E$5:$E$30)-1)*(Guide!$B$8-Guide!$B$7)+MOD(F102,1)-MOD(E102,1))*1440,2)</x:f>
        <x:v>445</x:v>
      </x:c>
      <x:c r="R102" s="14" t="n">
        <x:f>IF(INT(C102)=INT(F102),1,0)</x:f>
        <x:v>1</x:v>
      </x:c>
      <x:c r="S102" s="34" t="n">
        <x:f>WORKDAY(INT(C102),Guide!$B$5,Guide!$E$5:$E$30)+Guide!$B$8</x:f>
        <x:v>45957.708333333336</x:v>
      </x:c>
      <x:c r="T102" s="14" t="n">
        <x:f>IF(F102&lt;=S102,1,0)</x:f>
        <x:v>1</x:v>
      </x:c>
      <x:c r="U102" s="14" t="n">
        <x:f>IF(I102="","",IF(I102&lt;=Guide!$B$11,1,0))</x:f>
        <x:v>0</x:v>
      </x:c>
      <x:c r="V102" s="14" t="n">
        <x:f>IF(OR(N102=0,H102=1,U102=1),1,0)</x:f>
        <x:v>0</x:v>
      </x:c>
    </x:row>
    <x:row r="103" ht="25" customHeight="1">
      <x:c r="A103" s="31" t="str">
        <x:v>CASE-10-008</x:v>
      </x:c>
      <x:c r="B103" s="31" t="str">
        <x:v>EMP-01</x:v>
      </x:c>
      <x:c r="C103" s="32" t="n">
        <x:v>45951.69097222222</x:v>
      </x:c>
      <x:c r="D103" s="32" t="n">
        <x:v>45951.697916666664</x:v>
      </x:c>
      <x:c r="E103" s="32" t="n">
        <x:v>45952.395833333336</x:v>
      </x:c>
      <x:c r="F103" s="32" t="n">
        <x:v>45952.70138888889</x:v>
      </x:c>
      <x:c r="G103" s="33" t="n">
        <x:v>2000000</x:v>
      </x:c>
      <x:c r="H103" s="31" t="n">
        <x:v>0</x:v>
      </x:c>
      <x:c r="I103" s="31" t="n">
        <x:v>4</x:v>
      </x:c>
      <x:c r="J103" s="31" t="str">
        <x:v>Positive</x:v>
      </x:c>
      <x:c r="K103" s="31" t="str">
        <x:v>None</x:v>
      </x:c>
      <x:c r="L103" s="31" t="str">
        <x:v>Customer reports a clear and helpful resolution.</x:v>
      </x:c>
      <x:c r="M103" s="15" t="n">
        <x:f>ROUND(((NETWORKDAYS(INT(C103),INT(D103),Guide!$E$5:$E$30)-1)*(Guide!$B$8-Guide!$B$7)+MOD(D103,1)-MOD(C103,1))*1440,2)</x:f>
        <x:v>10</x:v>
      </x:c>
      <x:c r="N103" s="14" t="n">
        <x:f>IF(M103&lt;=Guide!$B$6,1,0)</x:f>
        <x:v>1</x:v>
      </x:c>
      <x:c r="O103" s="14" t="n">
        <x:f>NETWORKDAYS(INT(C103),INT(E103),Guide!$E$5:$E$30)-1</x:f>
        <x:v>1</x:v>
      </x:c>
      <x:c r="P103" s="15" t="n">
        <x:f>(F103-C103)*24</x:f>
        <x:v>24.250000000116415</x:v>
      </x:c>
      <x:c r="Q103" s="15" t="n">
        <x:f>ROUND(((NETWORKDAYS(INT(E103),INT(F103),Guide!$E$5:$E$30)-1)*(Guide!$B$8-Guide!$B$7)+MOD(F103,1)-MOD(E103,1))*1440,2)</x:f>
        <x:v>440</x:v>
      </x:c>
      <x:c r="R103" s="14" t="n">
        <x:f>IF(INT(C103)=INT(F103),1,0)</x:f>
        <x:v>0</x:v>
      </x:c>
      <x:c r="S103" s="34" t="n">
        <x:f>WORKDAY(INT(C103),Guide!$B$5,Guide!$E$5:$E$30)+Guide!$B$8</x:f>
        <x:v>45958.708333333336</x:v>
      </x:c>
      <x:c r="T103" s="14" t="n">
        <x:f>IF(F103&lt;=S103,1,0)</x:f>
        <x:v>1</x:v>
      </x:c>
      <x:c r="U103" s="14" t="n">
        <x:f>IF(I103="","",IF(I103&lt;=Guide!$B$11,1,0))</x:f>
        <x:v>0</x:v>
      </x:c>
      <x:c r="V103" s="14" t="n">
        <x:f>IF(OR(N103=0,H103=1,U103=1),1,0)</x:f>
        <x:v>0</x:v>
      </x:c>
    </x:row>
    <x:row r="104" ht="25" customHeight="1">
      <x:c r="A104" s="31" t="str">
        <x:v>CASE-10-009</x:v>
      </x:c>
      <x:c r="B104" s="31" t="str">
        <x:v>EMP-01</x:v>
      </x:c>
      <x:c r="C104" s="32" t="n">
        <x:v>45952.333333333336</x:v>
      </x:c>
      <x:c r="D104" s="32" t="n">
        <x:v>45952.375</x:v>
      </x:c>
      <x:c r="E104" s="32" t="n">
        <x:v>45952.395833333336</x:v>
      </x:c>
      <x:c r="F104" s="32" t="n">
        <x:v>45952.70138888889</x:v>
      </x:c>
      <x:c r="G104" s="33" t="n">
        <x:v>2000000</x:v>
      </x:c>
      <x:c r="H104" s="31" t="n">
        <x:v>0</x:v>
      </x:c>
      <x:c r="I104" s="31" t="n">
        <x:v>2</x:v>
      </x:c>
      <x:c r="J104" s="31" t="str">
        <x:v>Service update</x:v>
      </x:c>
      <x:c r="K104" s="31" t="str">
        <x:v>Employee</x:v>
      </x:c>
      <x:c r="L104" s="31" t="str">
        <x:v>Customer reports not receiving a progress update.</x:v>
      </x:c>
      <x:c r="M104" s="15" t="n">
        <x:f>ROUND(((NETWORKDAYS(INT(C104),INT(D104),Guide!$E$5:$E$30)-1)*(Guide!$B$8-Guide!$B$7)+MOD(D104,1)-MOD(C104,1))*1440,2)</x:f>
        <x:v>60</x:v>
      </x:c>
      <x:c r="N104" s="14" t="n">
        <x:f>IF(M104&lt;=Guide!$B$6,1,0)</x:f>
        <x:v>0</x:v>
      </x:c>
      <x:c r="O104" s="14" t="n">
        <x:f>NETWORKDAYS(INT(C104),INT(E104),Guide!$E$5:$E$30)-1</x:f>
        <x:v>0</x:v>
      </x:c>
      <x:c r="P104" s="15" t="n">
        <x:f>(F104-C104)*24</x:f>
        <x:v>8.83333333331393</x:v>
      </x:c>
      <x:c r="Q104" s="15" t="n">
        <x:f>ROUND(((NETWORKDAYS(INT(E104),INT(F104),Guide!$E$5:$E$30)-1)*(Guide!$B$8-Guide!$B$7)+MOD(F104,1)-MOD(E104,1))*1440,2)</x:f>
        <x:v>440</x:v>
      </x:c>
      <x:c r="R104" s="14" t="n">
        <x:f>IF(INT(C104)=INT(F104),1,0)</x:f>
        <x:v>1</x:v>
      </x:c>
      <x:c r="S104" s="34" t="n">
        <x:f>WORKDAY(INT(C104),Guide!$B$5,Guide!$E$5:$E$30)+Guide!$B$8</x:f>
        <x:v>45959.708333333336</x:v>
      </x:c>
      <x:c r="T104" s="14" t="n">
        <x:f>IF(F104&lt;=S104,1,0)</x:f>
        <x:v>1</x:v>
      </x:c>
      <x:c r="U104" s="14" t="n">
        <x:f>IF(I104="","",IF(I104&lt;=Guide!$B$11,1,0))</x:f>
        <x:v>1</x:v>
      </x:c>
      <x:c r="V104" s="14" t="n">
        <x:f>IF(OR(N104=0,H104=1,U104=1),1,0)</x:f>
        <x:v>1</x:v>
      </x:c>
    </x:row>
    <x:row r="105" ht="25" customHeight="1">
      <x:c r="A105" s="31" t="str">
        <x:v>CASE-10-010</x:v>
      </x:c>
      <x:c r="B105" s="31" t="str">
        <x:v>EMP-01</x:v>
      </x:c>
      <x:c r="C105" s="32" t="n">
        <x:v>45954.354166666664</x:v>
      </x:c>
      <x:c r="D105" s="32" t="n">
        <x:v>45954.368055555555</x:v>
      </x:c>
      <x:c r="E105" s="32" t="n">
        <x:v>45954.40972222222</x:v>
      </x:c>
      <x:c r="F105" s="32" t="n">
        <x:v>45954.70138888889</x:v>
      </x:c>
      <x:c r="G105" s="33" t="n">
        <x:v>500000</x:v>
      </x:c>
      <x:c r="H105" s="31" t="n">
        <x:v>0</x:v>
      </x:c>
      <x:c r="I105" s="31"/>
      <x:c r="J105" s="31" t="str">
        <x:v>No feedback</x:v>
      </x:c>
      <x:c r="K105" s="31" t="str">
        <x:v>Not assessed</x:v>
      </x:c>
      <x:c r="L105" s="31" t="str">
        <x:v>No survey response.</x:v>
      </x:c>
      <x:c r="M105" s="15" t="n">
        <x:f>ROUND(((NETWORKDAYS(INT(C105),INT(D105),Guide!$E$5:$E$30)-1)*(Guide!$B$8-Guide!$B$7)+MOD(D105,1)-MOD(C105,1))*1440,2)</x:f>
        <x:v>20</x:v>
      </x:c>
      <x:c r="N105" s="14" t="n">
        <x:f>IF(M105&lt;=Guide!$B$6,1,0)</x:f>
        <x:v>1</x:v>
      </x:c>
      <x:c r="O105" s="14" t="n">
        <x:f>NETWORKDAYS(INT(C105),INT(E105),Guide!$E$5:$E$30)-1</x:f>
        <x:v>0</x:v>
      </x:c>
      <x:c r="P105" s="15" t="n">
        <x:f>(F105-C105)*24</x:f>
        <x:v>8.333333333430346</x:v>
      </x:c>
      <x:c r="Q105" s="15" t="n">
        <x:f>ROUND(((NETWORKDAYS(INT(E105),INT(F105),Guide!$E$5:$E$30)-1)*(Guide!$B$8-Guide!$B$7)+MOD(F105,1)-MOD(E105,1))*1440,2)</x:f>
        <x:v>420</x:v>
      </x:c>
      <x:c r="R105" s="14" t="n">
        <x:f>IF(INT(C105)=INT(F105),1,0)</x:f>
        <x:v>1</x:v>
      </x:c>
      <x:c r="S105" s="34" t="n">
        <x:f>WORKDAY(INT(C105),Guide!$B$5,Guide!$E$5:$E$30)+Guide!$B$8</x:f>
        <x:v>45961.708333333336</x:v>
      </x:c>
      <x:c r="T105" s="14" t="n">
        <x:f>IF(F105&lt;=S105,1,0)</x:f>
        <x:v>1</x:v>
      </x:c>
      <x:c r="U105" s="14" t="str">
        <x:f>IF(I105="","",IF(I105&lt;=Guide!$B$11,1,0))</x:f>
      </x:c>
      <x:c r="V105" s="14" t="n">
        <x:f>IF(OR(N105=0,H105=1,U105=1),1,0)</x:f>
        <x:v>0</x:v>
      </x:c>
    </x:row>
    <x:row r="106" ht="25" customHeight="1">
      <x:c r="A106" s="31" t="str">
        <x:v>CASE-11-001</x:v>
      </x:c>
      <x:c r="B106" s="31" t="str">
        <x:v>EMP-01</x:v>
      </x:c>
      <x:c r="C106" s="32" t="n">
        <x:v>45964.5625</x:v>
      </x:c>
      <x:c r="D106" s="32" t="n">
        <x:v>45964.583333333336</x:v>
      </x:c>
      <x:c r="E106" s="32" t="n">
        <x:v>45964.59722222222</x:v>
      </x:c>
      <x:c r="F106" s="32" t="n">
        <x:v>45964.70138888889</x:v>
      </x:c>
      <x:c r="G106" s="33" t="n">
        <x:v>500000</x:v>
      </x:c>
      <x:c r="H106" s="31" t="n">
        <x:v>0</x:v>
      </x:c>
      <x:c r="I106" s="31" t="n">
        <x:v>4</x:v>
      </x:c>
      <x:c r="J106" s="31" t="str">
        <x:v>Positive</x:v>
      </x:c>
      <x:c r="K106" s="31" t="str">
        <x:v>None</x:v>
      </x:c>
      <x:c r="L106" s="31" t="str">
        <x:v>Customer reports a clear and helpful resolution.</x:v>
      </x:c>
      <x:c r="M106" s="15" t="n">
        <x:f>ROUND(((NETWORKDAYS(INT(C106),INT(D106),Guide!$E$5:$E$30)-1)*(Guide!$B$8-Guide!$B$7)+MOD(D106,1)-MOD(C106,1))*1440,2)</x:f>
        <x:v>30</x:v>
      </x:c>
      <x:c r="N106" s="14" t="n">
        <x:f>IF(M106&lt;=Guide!$B$6,1,0)</x:f>
        <x:v>1</x:v>
      </x:c>
      <x:c r="O106" s="14" t="n">
        <x:f>NETWORKDAYS(INT(C106),INT(E106),Guide!$E$5:$E$30)-1</x:f>
        <x:v>0</x:v>
      </x:c>
      <x:c r="P106" s="15" t="n">
        <x:f>(F106-C106)*24</x:f>
        <x:v>3.3333333333721384</x:v>
      </x:c>
      <x:c r="Q106" s="15" t="n">
        <x:f>ROUND(((NETWORKDAYS(INT(E106),INT(F106),Guide!$E$5:$E$30)-1)*(Guide!$B$8-Guide!$B$7)+MOD(F106,1)-MOD(E106,1))*1440,2)</x:f>
        <x:v>150</x:v>
      </x:c>
      <x:c r="R106" s="14" t="n">
        <x:f>IF(INT(C106)=INT(F106),1,0)</x:f>
        <x:v>1</x:v>
      </x:c>
      <x:c r="S106" s="34" t="n">
        <x:f>WORKDAY(INT(C106),Guide!$B$5,Guide!$E$5:$E$30)+Guide!$B$8</x:f>
        <x:v>45971.708333333336</x:v>
      </x:c>
      <x:c r="T106" s="14" t="n">
        <x:f>IF(F106&lt;=S106,1,0)</x:f>
        <x:v>1</x:v>
      </x:c>
      <x:c r="U106" s="14" t="n">
        <x:f>IF(I106="","",IF(I106&lt;=Guide!$B$11,1,0))</x:f>
        <x:v>0</x:v>
      </x:c>
      <x:c r="V106" s="14" t="n">
        <x:f>IF(OR(N106=0,H106=1,U106=1),1,0)</x:f>
        <x:v>0</x:v>
      </x:c>
    </x:row>
    <x:row r="107" ht="25" customHeight="1">
      <x:c r="A107" s="31" t="str">
        <x:v>CASE-11-002</x:v>
      </x:c>
      <x:c r="B107" s="31" t="str">
        <x:v>EMP-01</x:v>
      </x:c>
      <x:c r="C107" s="32" t="n">
        <x:v>45966.69097222222</x:v>
      </x:c>
      <x:c r="D107" s="32" t="n">
        <x:v>45967.336805555555</x:v>
      </x:c>
      <x:c r="E107" s="32" t="n">
        <x:v>45967.395833333336</x:v>
      </x:c>
      <x:c r="F107" s="32" t="n">
        <x:v>45967.70138888889</x:v>
      </x:c>
      <x:c r="G107" s="33" t="n">
        <x:v>500000</x:v>
      </x:c>
      <x:c r="H107" s="31" t="n">
        <x:v>0</x:v>
      </x:c>
      <x:c r="I107" s="31" t="n">
        <x:v>4</x:v>
      </x:c>
      <x:c r="J107" s="31" t="str">
        <x:v>Positive</x:v>
      </x:c>
      <x:c r="K107" s="31" t="str">
        <x:v>None</x:v>
      </x:c>
      <x:c r="L107" s="31" t="str">
        <x:v>Customer reports a clear and helpful resolution.</x:v>
      </x:c>
      <x:c r="M107" s="15" t="n">
        <x:f>ROUND(((NETWORKDAYS(INT(C107),INT(D107),Guide!$E$5:$E$30)-1)*(Guide!$B$8-Guide!$B$7)+MOD(D107,1)-MOD(C107,1))*1440,2)</x:f>
        <x:v>30</x:v>
      </x:c>
      <x:c r="N107" s="14" t="n">
        <x:f>IF(M107&lt;=Guide!$B$6,1,0)</x:f>
        <x:v>1</x:v>
      </x:c>
      <x:c r="O107" s="14" t="n">
        <x:f>NETWORKDAYS(INT(C107),INT(E107),Guide!$E$5:$E$30)-1</x:f>
        <x:v>1</x:v>
      </x:c>
      <x:c r="P107" s="15" t="n">
        <x:f>(F107-C107)*24</x:f>
        <x:v>24.250000000116415</x:v>
      </x:c>
      <x:c r="Q107" s="15" t="n">
        <x:f>ROUND(((NETWORKDAYS(INT(E107),INT(F107),Guide!$E$5:$E$30)-1)*(Guide!$B$8-Guide!$B$7)+MOD(F107,1)-MOD(E107,1))*1440,2)</x:f>
        <x:v>440</x:v>
      </x:c>
      <x:c r="R107" s="14" t="n">
        <x:f>IF(INT(C107)=INT(F107),1,0)</x:f>
        <x:v>0</x:v>
      </x:c>
      <x:c r="S107" s="34" t="n">
        <x:f>WORKDAY(INT(C107),Guide!$B$5,Guide!$E$5:$E$30)+Guide!$B$8</x:f>
        <x:v>45973.708333333336</x:v>
      </x:c>
      <x:c r="T107" s="14" t="n">
        <x:f>IF(F107&lt;=S107,1,0)</x:f>
        <x:v>1</x:v>
      </x:c>
      <x:c r="U107" s="14" t="n">
        <x:f>IF(I107="","",IF(I107&lt;=Guide!$B$11,1,0))</x:f>
        <x:v>0</x:v>
      </x:c>
      <x:c r="V107" s="14" t="n">
        <x:f>IF(OR(N107=0,H107=1,U107=1),1,0)</x:f>
        <x:v>0</x:v>
      </x:c>
    </x:row>
    <x:row r="108" ht="25" customHeight="1">
      <x:c r="A108" s="31" t="str">
        <x:v>CASE-11-003</x:v>
      </x:c>
      <x:c r="B108" s="31" t="str">
        <x:v>EMP-01</x:v>
      </x:c>
      <x:c r="C108" s="32" t="n">
        <x:v>45967.541666666664</x:v>
      </x:c>
      <x:c r="D108" s="32" t="n">
        <x:v>45967.55902777778</x:v>
      </x:c>
      <x:c r="E108" s="32" t="n">
        <x:v>45967.600694444445</x:v>
      </x:c>
      <x:c r="F108" s="32" t="n">
        <x:v>45967.70138888889</x:v>
      </x:c>
      <x:c r="G108" s="33" t="n">
        <x:v>1000000</x:v>
      </x:c>
      <x:c r="H108" s="31" t="n">
        <x:v>0</x:v>
      </x:c>
      <x:c r="I108" s="31" t="n">
        <x:v>4</x:v>
      </x:c>
      <x:c r="J108" s="31" t="str">
        <x:v>Positive</x:v>
      </x:c>
      <x:c r="K108" s="31" t="str">
        <x:v>None</x:v>
      </x:c>
      <x:c r="L108" s="31" t="str">
        <x:v>Customer reports a clear and helpful resolution.</x:v>
      </x:c>
      <x:c r="M108" s="15" t="n">
        <x:f>ROUND(((NETWORKDAYS(INT(C108),INT(D108),Guide!$E$5:$E$30)-1)*(Guide!$B$8-Guide!$B$7)+MOD(D108,1)-MOD(C108,1))*1440,2)</x:f>
        <x:v>25</x:v>
      </x:c>
      <x:c r="N108" s="14" t="n">
        <x:f>IF(M108&lt;=Guide!$B$6,1,0)</x:f>
        <x:v>1</x:v>
      </x:c>
      <x:c r="O108" s="14" t="n">
        <x:f>NETWORKDAYS(INT(C108),INT(E108),Guide!$E$5:$E$30)-1</x:f>
        <x:v>0</x:v>
      </x:c>
      <x:c r="P108" s="15" t="n">
        <x:f>(F108-C108)*24</x:f>
        <x:v>3.833333333430346</x:v>
      </x:c>
      <x:c r="Q108" s="15" t="n">
        <x:f>ROUND(((NETWORKDAYS(INT(E108),INT(F108),Guide!$E$5:$E$30)-1)*(Guide!$B$8-Guide!$B$7)+MOD(F108,1)-MOD(E108,1))*1440,2)</x:f>
        <x:v>145</x:v>
      </x:c>
      <x:c r="R108" s="14" t="n">
        <x:f>IF(INT(C108)=INT(F108),1,0)</x:f>
        <x:v>1</x:v>
      </x:c>
      <x:c r="S108" s="34" t="n">
        <x:f>WORKDAY(INT(C108),Guide!$B$5,Guide!$E$5:$E$30)+Guide!$B$8</x:f>
        <x:v>45974.708333333336</x:v>
      </x:c>
      <x:c r="T108" s="14" t="n">
        <x:f>IF(F108&lt;=S108,1,0)</x:f>
        <x:v>1</x:v>
      </x:c>
      <x:c r="U108" s="14" t="n">
        <x:f>IF(I108="","",IF(I108&lt;=Guide!$B$11,1,0))</x:f>
        <x:v>0</x:v>
      </x:c>
      <x:c r="V108" s="14" t="n">
        <x:f>IF(OR(N108=0,H108=1,U108=1),1,0)</x:f>
        <x:v>0</x:v>
      </x:c>
    </x:row>
    <x:row r="109" ht="25" customHeight="1">
      <x:c r="A109" s="31" t="str">
        <x:v>CASE-11-004</x:v>
      </x:c>
      <x:c r="B109" s="31" t="str">
        <x:v>EMP-01</x:v>
      </x:c>
      <x:c r="C109" s="32" t="n">
        <x:v>45968.34722222222</x:v>
      </x:c>
      <x:c r="D109" s="32" t="n">
        <x:v>45968.354166666664</x:v>
      </x:c>
      <x:c r="E109" s="32" t="n">
        <x:v>45968.395833333336</x:v>
      </x:c>
      <x:c r="F109" s="32" t="n">
        <x:v>45968.70138888889</x:v>
      </x:c>
      <x:c r="G109" s="33" t="n">
        <x:v>1000000</x:v>
      </x:c>
      <x:c r="H109" s="31" t="n">
        <x:v>0</x:v>
      </x:c>
      <x:c r="I109" s="31" t="n">
        <x:v>4</x:v>
      </x:c>
      <x:c r="J109" s="31" t="str">
        <x:v>Positive</x:v>
      </x:c>
      <x:c r="K109" s="31" t="str">
        <x:v>None</x:v>
      </x:c>
      <x:c r="L109" s="31" t="str">
        <x:v>Customer reports a clear and helpful resolution.</x:v>
      </x:c>
      <x:c r="M109" s="15" t="n">
        <x:f>ROUND(((NETWORKDAYS(INT(C109),INT(D109),Guide!$E$5:$E$30)-1)*(Guide!$B$8-Guide!$B$7)+MOD(D109,1)-MOD(C109,1))*1440,2)</x:f>
        <x:v>10</x:v>
      </x:c>
      <x:c r="N109" s="14" t="n">
        <x:f>IF(M109&lt;=Guide!$B$6,1,0)</x:f>
        <x:v>1</x:v>
      </x:c>
      <x:c r="O109" s="14" t="n">
        <x:f>NETWORKDAYS(INT(C109),INT(E109),Guide!$E$5:$E$30)-1</x:f>
        <x:v>0</x:v>
      </x:c>
      <x:c r="P109" s="15" t="n">
        <x:f>(F109-C109)*24</x:f>
        <x:v>8.500000000116415</x:v>
      </x:c>
      <x:c r="Q109" s="15" t="n">
        <x:f>ROUND(((NETWORKDAYS(INT(E109),INT(F109),Guide!$E$5:$E$30)-1)*(Guide!$B$8-Guide!$B$7)+MOD(F109,1)-MOD(E109,1))*1440,2)</x:f>
        <x:v>440</x:v>
      </x:c>
      <x:c r="R109" s="14" t="n">
        <x:f>IF(INT(C109)=INT(F109),1,0)</x:f>
        <x:v>1</x:v>
      </x:c>
      <x:c r="S109" s="34" t="n">
        <x:f>WORKDAY(INT(C109),Guide!$B$5,Guide!$E$5:$E$30)+Guide!$B$8</x:f>
        <x:v>45975.708333333336</x:v>
      </x:c>
      <x:c r="T109" s="14" t="n">
        <x:f>IF(F109&lt;=S109,1,0)</x:f>
        <x:v>1</x:v>
      </x:c>
      <x:c r="U109" s="14" t="n">
        <x:f>IF(I109="","",IF(I109&lt;=Guide!$B$11,1,0))</x:f>
        <x:v>0</x:v>
      </x:c>
      <x:c r="V109" s="14" t="n">
        <x:f>IF(OR(N109=0,H109=1,U109=1),1,0)</x:f>
        <x:v>0</x:v>
      </x:c>
    </x:row>
    <x:row r="110" ht="25" customHeight="1">
      <x:c r="A110" s="31" t="str">
        <x:v>CASE-11-005</x:v>
      </x:c>
      <x:c r="B110" s="31" t="str">
        <x:v>EMP-01</x:v>
      </x:c>
      <x:c r="C110" s="32" t="n">
        <x:v>45971.59722222222</x:v>
      </x:c>
      <x:c r="D110" s="32" t="n">
        <x:v>45971.618055555555</x:v>
      </x:c>
      <x:c r="E110" s="32" t="n">
        <x:v>45971.649305555555</x:v>
      </x:c>
      <x:c r="F110" s="32" t="n">
        <x:v>45971.70138888889</x:v>
      </x:c>
      <x:c r="G110" s="33" t="n">
        <x:v>500000</x:v>
      </x:c>
      <x:c r="H110" s="31" t="n">
        <x:v>0</x:v>
      </x:c>
      <x:c r="I110" s="31"/>
      <x:c r="J110" s="31" t="str">
        <x:v>No feedback</x:v>
      </x:c>
      <x:c r="K110" s="31" t="str">
        <x:v>Not assessed</x:v>
      </x:c>
      <x:c r="L110" s="31" t="str">
        <x:v>No survey response.</x:v>
      </x:c>
      <x:c r="M110" s="15" t="n">
        <x:f>ROUND(((NETWORKDAYS(INT(C110),INT(D110),Guide!$E$5:$E$30)-1)*(Guide!$B$8-Guide!$B$7)+MOD(D110,1)-MOD(C110,1))*1440,2)</x:f>
        <x:v>30</x:v>
      </x:c>
      <x:c r="N110" s="14" t="n">
        <x:f>IF(M110&lt;=Guide!$B$6,1,0)</x:f>
        <x:v>1</x:v>
      </x:c>
      <x:c r="O110" s="14" t="n">
        <x:f>NETWORKDAYS(INT(C110),INT(E110),Guide!$E$5:$E$30)-1</x:f>
        <x:v>0</x:v>
      </x:c>
      <x:c r="P110" s="15" t="n">
        <x:f>(F110-C110)*24</x:f>
        <x:v>2.5000000001164153</x:v>
      </x:c>
      <x:c r="Q110" s="15" t="n">
        <x:f>ROUND(((NETWORKDAYS(INT(E110),INT(F110),Guide!$E$5:$E$30)-1)*(Guide!$B$8-Guide!$B$7)+MOD(F110,1)-MOD(E110,1))*1440,2)</x:f>
        <x:v>75</x:v>
      </x:c>
      <x:c r="R110" s="14" t="n">
        <x:f>IF(INT(C110)=INT(F110),1,0)</x:f>
        <x:v>1</x:v>
      </x:c>
      <x:c r="S110" s="34" t="n">
        <x:f>WORKDAY(INT(C110),Guide!$B$5,Guide!$E$5:$E$30)+Guide!$B$8</x:f>
        <x:v>45978.708333333336</x:v>
      </x:c>
      <x:c r="T110" s="14" t="n">
        <x:f>IF(F110&lt;=S110,1,0)</x:f>
        <x:v>1</x:v>
      </x:c>
      <x:c r="U110" s="14" t="str">
        <x:f>IF(I110="","",IF(I110&lt;=Guide!$B$11,1,0))</x:f>
      </x:c>
      <x:c r="V110" s="14" t="n">
        <x:f>IF(OR(N110=0,H110=1,U110=1),1,0)</x:f>
        <x:v>0</x:v>
      </x:c>
    </x:row>
    <x:row r="111" ht="25" customHeight="1">
      <x:c r="A111" s="31" t="str">
        <x:v>CASE-11-006</x:v>
      </x:c>
      <x:c r="B111" s="31" t="str">
        <x:v>EMP-01</x:v>
      </x:c>
      <x:c r="C111" s="32" t="n">
        <x:v>45972.38888888889</x:v>
      </x:c>
      <x:c r="D111" s="32" t="n">
        <x:v>45972.40972222222</x:v>
      </x:c>
      <x:c r="E111" s="32" t="n">
        <x:v>45972.42361111111</x:v>
      </x:c>
      <x:c r="F111" s="32" t="n">
        <x:v>45972.70138888889</x:v>
      </x:c>
      <x:c r="G111" s="33" t="n">
        <x:v>2000000</x:v>
      </x:c>
      <x:c r="H111" s="31" t="n">
        <x:v>0</x:v>
      </x:c>
      <x:c r="I111" s="31" t="n">
        <x:v>5</x:v>
      </x:c>
      <x:c r="J111" s="31" t="str">
        <x:v>Positive</x:v>
      </x:c>
      <x:c r="K111" s="31" t="str">
        <x:v>None</x:v>
      </x:c>
      <x:c r="L111" s="31" t="str">
        <x:v>Customer reports a clear and helpful resolution.</x:v>
      </x:c>
      <x:c r="M111" s="15" t="n">
        <x:f>ROUND(((NETWORKDAYS(INT(C111),INT(D111),Guide!$E$5:$E$30)-1)*(Guide!$B$8-Guide!$B$7)+MOD(D111,1)-MOD(C111,1))*1440,2)</x:f>
        <x:v>30</x:v>
      </x:c>
      <x:c r="N111" s="14" t="n">
        <x:f>IF(M111&lt;=Guide!$B$6,1,0)</x:f>
        <x:v>1</x:v>
      </x:c>
      <x:c r="O111" s="14" t="n">
        <x:f>NETWORKDAYS(INT(C111),INT(E111),Guide!$E$5:$E$30)-1</x:f>
        <x:v>0</x:v>
      </x:c>
      <x:c r="P111" s="15" t="n">
        <x:f>(F111-C111)*24</x:f>
        <x:v>7.5</x:v>
      </x:c>
      <x:c r="Q111" s="15" t="n">
        <x:f>ROUND(((NETWORKDAYS(INT(E111),INT(F111),Guide!$E$5:$E$30)-1)*(Guide!$B$8-Guide!$B$7)+MOD(F111,1)-MOD(E111,1))*1440,2)</x:f>
        <x:v>400</x:v>
      </x:c>
      <x:c r="R111" s="14" t="n">
        <x:f>IF(INT(C111)=INT(F111),1,0)</x:f>
        <x:v>1</x:v>
      </x:c>
      <x:c r="S111" s="34" t="n">
        <x:f>WORKDAY(INT(C111),Guide!$B$5,Guide!$E$5:$E$30)+Guide!$B$8</x:f>
        <x:v>45979.708333333336</x:v>
      </x:c>
      <x:c r="T111" s="14" t="n">
        <x:f>IF(F111&lt;=S111,1,0)</x:f>
        <x:v>1</x:v>
      </x:c>
      <x:c r="U111" s="14" t="n">
        <x:f>IF(I111="","",IF(I111&lt;=Guide!$B$11,1,0))</x:f>
        <x:v>0</x:v>
      </x:c>
      <x:c r="V111" s="14" t="n">
        <x:f>IF(OR(N111=0,H111=1,U111=1),1,0)</x:f>
        <x:v>0</x:v>
      </x:c>
    </x:row>
    <x:row r="112" ht="25" customHeight="1">
      <x:c r="A112" s="31" t="str">
        <x:v>CASE-11-007</x:v>
      </x:c>
      <x:c r="B112" s="31" t="str">
        <x:v>EMP-01</x:v>
      </x:c>
      <x:c r="C112" s="32" t="n">
        <x:v>45974.5625</x:v>
      </x:c>
      <x:c r="D112" s="32" t="n">
        <x:v>45974.569444444445</x:v>
      </x:c>
      <x:c r="E112" s="32" t="n">
        <x:v>45974.61111111111</x:v>
      </x:c>
      <x:c r="F112" s="32" t="n">
        <x:v>45974.70138888889</x:v>
      </x:c>
      <x:c r="G112" s="33" t="n">
        <x:v>2000000</x:v>
      </x:c>
      <x:c r="H112" s="31" t="n">
        <x:v>0</x:v>
      </x:c>
      <x:c r="I112" s="31" t="n">
        <x:v>4</x:v>
      </x:c>
      <x:c r="J112" s="31" t="str">
        <x:v>Positive</x:v>
      </x:c>
      <x:c r="K112" s="31" t="str">
        <x:v>None</x:v>
      </x:c>
      <x:c r="L112" s="31" t="str">
        <x:v>Customer reports a clear and helpful resolution.</x:v>
      </x:c>
      <x:c r="M112" s="15" t="n">
        <x:f>ROUND(((NETWORKDAYS(INT(C112),INT(D112),Guide!$E$5:$E$30)-1)*(Guide!$B$8-Guide!$B$7)+MOD(D112,1)-MOD(C112,1))*1440,2)</x:f>
        <x:v>10</x:v>
      </x:c>
      <x:c r="N112" s="14" t="n">
        <x:f>IF(M112&lt;=Guide!$B$6,1,0)</x:f>
        <x:v>1</x:v>
      </x:c>
      <x:c r="O112" s="14" t="n">
        <x:f>NETWORKDAYS(INT(C112),INT(E112),Guide!$E$5:$E$30)-1</x:f>
        <x:v>0</x:v>
      </x:c>
      <x:c r="P112" s="15" t="n">
        <x:f>(F112-C112)*24</x:f>
        <x:v>3.3333333333721384</x:v>
      </x:c>
      <x:c r="Q112" s="15" t="n">
        <x:f>ROUND(((NETWORKDAYS(INT(E112),INT(F112),Guide!$E$5:$E$30)-1)*(Guide!$B$8-Guide!$B$7)+MOD(F112,1)-MOD(E112,1))*1440,2)</x:f>
        <x:v>130</x:v>
      </x:c>
      <x:c r="R112" s="14" t="n">
        <x:f>IF(INT(C112)=INT(F112),1,0)</x:f>
        <x:v>1</x:v>
      </x:c>
      <x:c r="S112" s="34" t="n">
        <x:f>WORKDAY(INT(C112),Guide!$B$5,Guide!$E$5:$E$30)+Guide!$B$8</x:f>
        <x:v>45981.708333333336</x:v>
      </x:c>
      <x:c r="T112" s="14" t="n">
        <x:f>IF(F112&lt;=S112,1,0)</x:f>
        <x:v>1</x:v>
      </x:c>
      <x:c r="U112" s="14" t="n">
        <x:f>IF(I112="","",IF(I112&lt;=Guide!$B$11,1,0))</x:f>
        <x:v>0</x:v>
      </x:c>
      <x:c r="V112" s="14" t="n">
        <x:f>IF(OR(N112=0,H112=1,U112=1),1,0)</x:f>
        <x:v>0</x:v>
      </x:c>
    </x:row>
    <x:row r="113" ht="25" customHeight="1">
      <x:c r="A113" s="31" t="str">
        <x:v>CASE-11-008</x:v>
      </x:c>
      <x:c r="B113" s="31" t="str">
        <x:v>EMP-01</x:v>
      </x:c>
      <x:c r="C113" s="32" t="n">
        <x:v>45978.69097222222</x:v>
      </x:c>
      <x:c r="D113" s="32" t="n">
        <x:v>45978.694444444445</x:v>
      </x:c>
      <x:c r="E113" s="32" t="n">
        <x:v>45979.395833333336</x:v>
      </x:c>
      <x:c r="F113" s="32" t="n">
        <x:v>45979.70138888889</x:v>
      </x:c>
      <x:c r="G113" s="33" t="n">
        <x:v>100000</x:v>
      </x:c>
      <x:c r="H113" s="31" t="n">
        <x:v>0</x:v>
      </x:c>
      <x:c r="I113" s="31" t="n">
        <x:v>5</x:v>
      </x:c>
      <x:c r="J113" s="31" t="str">
        <x:v>Positive</x:v>
      </x:c>
      <x:c r="K113" s="31" t="str">
        <x:v>None</x:v>
      </x:c>
      <x:c r="L113" s="31" t="str">
        <x:v>Customer reports a clear and helpful resolution.</x:v>
      </x:c>
      <x:c r="M113" s="15" t="n">
        <x:f>ROUND(((NETWORKDAYS(INT(C113),INT(D113),Guide!$E$5:$E$30)-1)*(Guide!$B$8-Guide!$B$7)+MOD(D113,1)-MOD(C113,1))*1440,2)</x:f>
        <x:v>5</x:v>
      </x:c>
      <x:c r="N113" s="14" t="n">
        <x:f>IF(M113&lt;=Guide!$B$6,1,0)</x:f>
        <x:v>1</x:v>
      </x:c>
      <x:c r="O113" s="14" t="n">
        <x:f>NETWORKDAYS(INT(C113),INT(E113),Guide!$E$5:$E$30)-1</x:f>
        <x:v>1</x:v>
      </x:c>
      <x:c r="P113" s="15" t="n">
        <x:f>(F113-C113)*24</x:f>
        <x:v>24.250000000116415</x:v>
      </x:c>
      <x:c r="Q113" s="15" t="n">
        <x:f>ROUND(((NETWORKDAYS(INT(E113),INT(F113),Guide!$E$5:$E$30)-1)*(Guide!$B$8-Guide!$B$7)+MOD(F113,1)-MOD(E113,1))*1440,2)</x:f>
        <x:v>440</x:v>
      </x:c>
      <x:c r="R113" s="14" t="n">
        <x:f>IF(INT(C113)=INT(F113),1,0)</x:f>
        <x:v>0</x:v>
      </x:c>
      <x:c r="S113" s="34" t="n">
        <x:f>WORKDAY(INT(C113),Guide!$B$5,Guide!$E$5:$E$30)+Guide!$B$8</x:f>
        <x:v>45985.708333333336</x:v>
      </x:c>
      <x:c r="T113" s="14" t="n">
        <x:f>IF(F113&lt;=S113,1,0)</x:f>
        <x:v>1</x:v>
      </x:c>
      <x:c r="U113" s="14" t="n">
        <x:f>IF(I113="","",IF(I113&lt;=Guide!$B$11,1,0))</x:f>
        <x:v>0</x:v>
      </x:c>
      <x:c r="V113" s="14" t="n">
        <x:f>IF(OR(N113=0,H113=1,U113=1),1,0)</x:f>
        <x:v>0</x:v>
      </x:c>
    </x:row>
    <x:row r="114" ht="25" customHeight="1">
      <x:c r="A114" s="31" t="str">
        <x:v>CASE-11-009</x:v>
      </x:c>
      <x:c r="B114" s="31" t="str">
        <x:v>EMP-01</x:v>
      </x:c>
      <x:c r="C114" s="32" t="n">
        <x:v>45980.381944444445</x:v>
      </x:c>
      <x:c r="D114" s="32" t="n">
        <x:v>45980.40277777778</x:v>
      </x:c>
      <x:c r="E114" s="32" t="n">
        <x:v>45980.416666666664</x:v>
      </x:c>
      <x:c r="F114" s="32" t="n">
        <x:v>45980.70138888889</x:v>
      </x:c>
      <x:c r="G114" s="33" t="n">
        <x:v>5000000</x:v>
      </x:c>
      <x:c r="H114" s="31" t="n">
        <x:v>0</x:v>
      </x:c>
      <x:c r="I114" s="31" t="n">
        <x:v>4</x:v>
      </x:c>
      <x:c r="J114" s="31" t="str">
        <x:v>Positive</x:v>
      </x:c>
      <x:c r="K114" s="31" t="str">
        <x:v>None</x:v>
      </x:c>
      <x:c r="L114" s="31" t="str">
        <x:v>Customer reports a clear and helpful resolution.</x:v>
      </x:c>
      <x:c r="M114" s="15" t="n">
        <x:f>ROUND(((NETWORKDAYS(INT(C114),INT(D114),Guide!$E$5:$E$30)-1)*(Guide!$B$8-Guide!$B$7)+MOD(D114,1)-MOD(C114,1))*1440,2)</x:f>
        <x:v>30</x:v>
      </x:c>
      <x:c r="N114" s="14" t="n">
        <x:f>IF(M114&lt;=Guide!$B$6,1,0)</x:f>
        <x:v>1</x:v>
      </x:c>
      <x:c r="O114" s="14" t="n">
        <x:f>NETWORKDAYS(INT(C114),INT(E114),Guide!$E$5:$E$30)-1</x:f>
        <x:v>0</x:v>
      </x:c>
      <x:c r="P114" s="15" t="n">
        <x:f>(F114-C114)*24</x:f>
        <x:v>7.666666666686069</x:v>
      </x:c>
      <x:c r="Q114" s="15" t="n">
        <x:f>ROUND(((NETWORKDAYS(INT(E114),INT(F114),Guide!$E$5:$E$30)-1)*(Guide!$B$8-Guide!$B$7)+MOD(F114,1)-MOD(E114,1))*1440,2)</x:f>
        <x:v>410</x:v>
      </x:c>
      <x:c r="R114" s="14" t="n">
        <x:f>IF(INT(C114)=INT(F114),1,0)</x:f>
        <x:v>1</x:v>
      </x:c>
      <x:c r="S114" s="34" t="n">
        <x:f>WORKDAY(INT(C114),Guide!$B$5,Guide!$E$5:$E$30)+Guide!$B$8</x:f>
        <x:v>45987.708333333336</x:v>
      </x:c>
      <x:c r="T114" s="14" t="n">
        <x:f>IF(F114&lt;=S114,1,0)</x:f>
        <x:v>1</x:v>
      </x:c>
      <x:c r="U114" s="14" t="n">
        <x:f>IF(I114="","",IF(I114&lt;=Guide!$B$11,1,0))</x:f>
        <x:v>0</x:v>
      </x:c>
      <x:c r="V114" s="14" t="n">
        <x:f>IF(OR(N114=0,H114=1,U114=1),1,0)</x:f>
        <x:v>0</x:v>
      </x:c>
    </x:row>
    <x:row r="115" ht="25" customHeight="1">
      <x:c r="A115" s="31" t="str">
        <x:v>CASE-11-010</x:v>
      </x:c>
      <x:c r="B115" s="31" t="str">
        <x:v>EMP-01</x:v>
      </x:c>
      <x:c r="C115" s="32" t="n">
        <x:v>45985.47222222222</x:v>
      </x:c>
      <x:c r="D115" s="32" t="n">
        <x:v>45985.493055555555</x:v>
      </x:c>
      <x:c r="E115" s="32" t="n">
        <x:v>45985.506944444445</x:v>
      </x:c>
      <x:c r="F115" s="32" t="n">
        <x:v>45985.70138888889</x:v>
      </x:c>
      <x:c r="G115" s="33" t="n">
        <x:v>200000</x:v>
      </x:c>
      <x:c r="H115" s="31" t="n">
        <x:v>0</x:v>
      </x:c>
      <x:c r="I115" s="31" t="n">
        <x:v>2</x:v>
      </x:c>
      <x:c r="J115" s="31" t="str">
        <x:v>ATM issue</x:v>
      </x:c>
      <x:c r="K115" s="31" t="str">
        <x:v>System</x:v>
      </x:c>
      <x:c r="L115" s="31" t="str">
        <x:v>Customer reports inconvenience caused by the ATM failure.</x:v>
      </x:c>
      <x:c r="M115" s="15" t="n">
        <x:f>ROUND(((NETWORKDAYS(INT(C115),INT(D115),Guide!$E$5:$E$30)-1)*(Guide!$B$8-Guide!$B$7)+MOD(D115,1)-MOD(C115,1))*1440,2)</x:f>
        <x:v>30</x:v>
      </x:c>
      <x:c r="N115" s="14" t="n">
        <x:f>IF(M115&lt;=Guide!$B$6,1,0)</x:f>
        <x:v>1</x:v>
      </x:c>
      <x:c r="O115" s="14" t="n">
        <x:f>NETWORKDAYS(INT(C115),INT(E115),Guide!$E$5:$E$30)-1</x:f>
        <x:v>0</x:v>
      </x:c>
      <x:c r="P115" s="15" t="n">
        <x:f>(F115-C115)*24</x:f>
        <x:v>5.500000000116415</x:v>
      </x:c>
      <x:c r="Q115" s="15" t="n">
        <x:f>ROUND(((NETWORKDAYS(INT(E115),INT(F115),Guide!$E$5:$E$30)-1)*(Guide!$B$8-Guide!$B$7)+MOD(F115,1)-MOD(E115,1))*1440,2)</x:f>
        <x:v>280</x:v>
      </x:c>
      <x:c r="R115" s="14" t="n">
        <x:f>IF(INT(C115)=INT(F115),1,0)</x:f>
        <x:v>1</x:v>
      </x:c>
      <x:c r="S115" s="34" t="n">
        <x:f>WORKDAY(INT(C115),Guide!$B$5,Guide!$E$5:$E$30)+Guide!$B$8</x:f>
        <x:v>45992.708333333336</x:v>
      </x:c>
      <x:c r="T115" s="14" t="n">
        <x:f>IF(F115&lt;=S115,1,0)</x:f>
        <x:v>1</x:v>
      </x:c>
      <x:c r="U115" s="14" t="n">
        <x:f>IF(I115="","",IF(I115&lt;=Guide!$B$11,1,0))</x:f>
        <x:v>1</x:v>
      </x:c>
      <x:c r="V115" s="14" t="n">
        <x:f>IF(OR(N115=0,H115=1,U115=1),1,0)</x:f>
        <x:v>1</x:v>
      </x:c>
    </x:row>
    <x:row r="116" ht="25" customHeight="1">
      <x:c r="A116" s="31" t="str">
        <x:v>CASE-12-001</x:v>
      </x:c>
      <x:c r="B116" s="31" t="str">
        <x:v>EMP-01</x:v>
      </x:c>
      <x:c r="C116" s="32" t="n">
        <x:v>45995.583333333336</x:v>
      </x:c>
      <x:c r="D116" s="32" t="n">
        <x:v>45995.59027777778</x:v>
      </x:c>
      <x:c r="E116" s="32" t="n">
        <x:v>45995.61111111111</x:v>
      </x:c>
      <x:c r="F116" s="32" t="n">
        <x:v>45995.70138888889</x:v>
      </x:c>
      <x:c r="G116" s="33" t="n">
        <x:v>5000000</x:v>
      </x:c>
      <x:c r="H116" s="31" t="n">
        <x:v>0</x:v>
      </x:c>
      <x:c r="I116" s="31" t="n">
        <x:v>5</x:v>
      </x:c>
      <x:c r="J116" s="31" t="str">
        <x:v>Positive</x:v>
      </x:c>
      <x:c r="K116" s="31" t="str">
        <x:v>None</x:v>
      </x:c>
      <x:c r="L116" s="31" t="str">
        <x:v>Customer reports a clear and helpful resolution.</x:v>
      </x:c>
      <x:c r="M116" s="15" t="n">
        <x:f>ROUND(((NETWORKDAYS(INT(C116),INT(D116),Guide!$E$5:$E$30)-1)*(Guide!$B$8-Guide!$B$7)+MOD(D116,1)-MOD(C116,1))*1440,2)</x:f>
        <x:v>10</x:v>
      </x:c>
      <x:c r="N116" s="14" t="n">
        <x:f>IF(M116&lt;=Guide!$B$6,1,0)</x:f>
        <x:v>1</x:v>
      </x:c>
      <x:c r="O116" s="14" t="n">
        <x:f>NETWORKDAYS(INT(C116),INT(E116),Guide!$E$5:$E$30)-1</x:f>
        <x:v>0</x:v>
      </x:c>
      <x:c r="P116" s="15" t="n">
        <x:f>(F116-C116)*24</x:f>
        <x:v>2.833333333313931</x:v>
      </x:c>
      <x:c r="Q116" s="15" t="n">
        <x:f>ROUND(((NETWORKDAYS(INT(E116),INT(F116),Guide!$E$5:$E$30)-1)*(Guide!$B$8-Guide!$B$7)+MOD(F116,1)-MOD(E116,1))*1440,2)</x:f>
        <x:v>130</x:v>
      </x:c>
      <x:c r="R116" s="14" t="n">
        <x:f>IF(INT(C116)=INT(F116),1,0)</x:f>
        <x:v>1</x:v>
      </x:c>
      <x:c r="S116" s="34" t="n">
        <x:f>WORKDAY(INT(C116),Guide!$B$5,Guide!$E$5:$E$30)+Guide!$B$8</x:f>
        <x:v>46002.708333333336</x:v>
      </x:c>
      <x:c r="T116" s="14" t="n">
        <x:f>IF(F116&lt;=S116,1,0)</x:f>
        <x:v>1</x:v>
      </x:c>
      <x:c r="U116" s="14" t="n">
        <x:f>IF(I116="","",IF(I116&lt;=Guide!$B$11,1,0))</x:f>
        <x:v>0</x:v>
      </x:c>
      <x:c r="V116" s="14" t="n">
        <x:f>IF(OR(N116=0,H116=1,U116=1),1,0)</x:f>
        <x:v>0</x:v>
      </x:c>
    </x:row>
    <x:row r="117" ht="25" customHeight="1">
      <x:c r="A117" s="31" t="str">
        <x:v>CASE-12-002</x:v>
      </x:c>
      <x:c r="B117" s="31" t="str">
        <x:v>EMP-01</x:v>
      </x:c>
      <x:c r="C117" s="32" t="n">
        <x:v>45996.70138888889</x:v>
      </x:c>
      <x:c r="D117" s="32" t="n">
        <x:v>45996.708333333336</x:v>
      </x:c>
      <x:c r="E117" s="32" t="n">
        <x:v>45999.395833333336</x:v>
      </x:c>
      <x:c r="F117" s="32" t="n">
        <x:v>45999.70138888889</x:v>
      </x:c>
      <x:c r="G117" s="33" t="n">
        <x:v>200000</x:v>
      </x:c>
      <x:c r="H117" s="31" t="n">
        <x:v>0</x:v>
      </x:c>
      <x:c r="I117" s="31" t="n">
        <x:v>4</x:v>
      </x:c>
      <x:c r="J117" s="31" t="str">
        <x:v>Positive</x:v>
      </x:c>
      <x:c r="K117" s="31" t="str">
        <x:v>None</x:v>
      </x:c>
      <x:c r="L117" s="31" t="str">
        <x:v>Customer reports a clear and helpful resolution.</x:v>
      </x:c>
      <x:c r="M117" s="15" t="n">
        <x:f>ROUND(((NETWORKDAYS(INT(C117),INT(D117),Guide!$E$5:$E$30)-1)*(Guide!$B$8-Guide!$B$7)+MOD(D117,1)-MOD(C117,1))*1440,2)</x:f>
        <x:v>10</x:v>
      </x:c>
      <x:c r="N117" s="14" t="n">
        <x:f>IF(M117&lt;=Guide!$B$6,1,0)</x:f>
        <x:v>1</x:v>
      </x:c>
      <x:c r="O117" s="14" t="n">
        <x:f>NETWORKDAYS(INT(C117),INT(E117),Guide!$E$5:$E$30)-1</x:f>
        <x:v>1</x:v>
      </x:c>
      <x:c r="P117" s="15" t="n">
        <x:f>(F117-C117)*24</x:f>
        <x:v>72</x:v>
      </x:c>
      <x:c r="Q117" s="15" t="n">
        <x:f>ROUND(((NETWORKDAYS(INT(E117),INT(F117),Guide!$E$5:$E$30)-1)*(Guide!$B$8-Guide!$B$7)+MOD(F117,1)-MOD(E117,1))*1440,2)</x:f>
        <x:v>440</x:v>
      </x:c>
      <x:c r="R117" s="14" t="n">
        <x:f>IF(INT(C117)=INT(F117),1,0)</x:f>
        <x:v>0</x:v>
      </x:c>
      <x:c r="S117" s="34" t="n">
        <x:f>WORKDAY(INT(C117),Guide!$B$5,Guide!$E$5:$E$30)+Guide!$B$8</x:f>
        <x:v>46003.708333333336</x:v>
      </x:c>
      <x:c r="T117" s="14" t="n">
        <x:f>IF(F117&lt;=S117,1,0)</x:f>
        <x:v>1</x:v>
      </x:c>
      <x:c r="U117" s="14" t="n">
        <x:f>IF(I117="","",IF(I117&lt;=Guide!$B$11,1,0))</x:f>
        <x:v>0</x:v>
      </x:c>
      <x:c r="V117" s="14" t="n">
        <x:f>IF(OR(N117=0,H117=1,U117=1),1,0)</x:f>
        <x:v>0</x:v>
      </x:c>
    </x:row>
    <x:row r="118" ht="25" customHeight="1">
      <x:c r="A118" s="31" t="str">
        <x:v>CASE-12-003</x:v>
      </x:c>
      <x:c r="B118" s="31" t="str">
        <x:v>EMP-01</x:v>
      </x:c>
      <x:c r="C118" s="32" t="n">
        <x:v>46000.34027777778</x:v>
      </x:c>
      <x:c r="D118" s="32" t="n">
        <x:v>46000.36111111111</x:v>
      </x:c>
      <x:c r="E118" s="32" t="n">
        <x:v>46000.375</x:v>
      </x:c>
      <x:c r="F118" s="32" t="n">
        <x:v>46000.70138888889</x:v>
      </x:c>
      <x:c r="G118" s="33" t="n">
        <x:v>5000000</x:v>
      </x:c>
      <x:c r="H118" s="31" t="n">
        <x:v>0</x:v>
      </x:c>
      <x:c r="I118" s="31" t="n">
        <x:v>5</x:v>
      </x:c>
      <x:c r="J118" s="31" t="str">
        <x:v>Positive</x:v>
      </x:c>
      <x:c r="K118" s="31" t="str">
        <x:v>None</x:v>
      </x:c>
      <x:c r="L118" s="31" t="str">
        <x:v>Customer reports a clear and helpful resolution.</x:v>
      </x:c>
      <x:c r="M118" s="15" t="n">
        <x:f>ROUND(((NETWORKDAYS(INT(C118),INT(D118),Guide!$E$5:$E$30)-1)*(Guide!$B$8-Guide!$B$7)+MOD(D118,1)-MOD(C118,1))*1440,2)</x:f>
        <x:v>30</x:v>
      </x:c>
      <x:c r="N118" s="14" t="n">
        <x:f>IF(M118&lt;=Guide!$B$6,1,0)</x:f>
        <x:v>1</x:v>
      </x:c>
      <x:c r="O118" s="14" t="n">
        <x:f>NETWORKDAYS(INT(C118),INT(E118),Guide!$E$5:$E$30)-1</x:f>
        <x:v>0</x:v>
      </x:c>
      <x:c r="P118" s="15" t="n">
        <x:f>(F118-C118)*24</x:f>
        <x:v>8.666666666627862</x:v>
      </x:c>
      <x:c r="Q118" s="15" t="n">
        <x:f>ROUND(((NETWORKDAYS(INT(E118),INT(F118),Guide!$E$5:$E$30)-1)*(Guide!$B$8-Guide!$B$7)+MOD(F118,1)-MOD(E118,1))*1440,2)</x:f>
        <x:v>470</x:v>
      </x:c>
      <x:c r="R118" s="14" t="n">
        <x:f>IF(INT(C118)=INT(F118),1,0)</x:f>
        <x:v>1</x:v>
      </x:c>
      <x:c r="S118" s="34" t="n">
        <x:f>WORKDAY(INT(C118),Guide!$B$5,Guide!$E$5:$E$30)+Guide!$B$8</x:f>
        <x:v>46007.708333333336</x:v>
      </x:c>
      <x:c r="T118" s="14" t="n">
        <x:f>IF(F118&lt;=S118,1,0)</x:f>
        <x:v>1</x:v>
      </x:c>
      <x:c r="U118" s="14" t="n">
        <x:f>IF(I118="","",IF(I118&lt;=Guide!$B$11,1,0))</x:f>
        <x:v>0</x:v>
      </x:c>
      <x:c r="V118" s="14" t="n">
        <x:f>IF(OR(N118=0,H118=1,U118=1),1,0)</x:f>
        <x:v>0</x:v>
      </x:c>
    </x:row>
    <x:row r="119" ht="25" customHeight="1">
      <x:c r="A119" s="31" t="str">
        <x:v>CASE-12-004</x:v>
      </x:c>
      <x:c r="B119" s="31" t="str">
        <x:v>EMP-01</x:v>
      </x:c>
      <x:c r="C119" s="32" t="n">
        <x:v>46001.5625</x:v>
      </x:c>
      <x:c r="D119" s="32" t="n">
        <x:v>46001.59375</x:v>
      </x:c>
      <x:c r="E119" s="32" t="n">
        <x:v>46001.60763888889</x:v>
      </x:c>
      <x:c r="F119" s="32" t="n">
        <x:v>46001.70138888889</x:v>
      </x:c>
      <x:c r="G119" s="33" t="n">
        <x:v>2000000</x:v>
      </x:c>
      <x:c r="H119" s="31" t="n">
        <x:v>1</x:v>
      </x:c>
      <x:c r="I119" s="31" t="n">
        <x:v>4</x:v>
      </x:c>
      <x:c r="J119" s="31" t="str">
        <x:v>Positive</x:v>
      </x:c>
      <x:c r="K119" s="31" t="str">
        <x:v>None</x:v>
      </x:c>
      <x:c r="L119" s="31" t="str">
        <x:v>Customer reports a clear and helpful resolution.</x:v>
      </x:c>
      <x:c r="M119" s="15" t="n">
        <x:f>ROUND(((NETWORKDAYS(INT(C119),INT(D119),Guide!$E$5:$E$30)-1)*(Guide!$B$8-Guide!$B$7)+MOD(D119,1)-MOD(C119,1))*1440,2)</x:f>
        <x:v>45</x:v>
      </x:c>
      <x:c r="N119" s="14" t="n">
        <x:f>IF(M119&lt;=Guide!$B$6,1,0)</x:f>
        <x:v>0</x:v>
      </x:c>
      <x:c r="O119" s="14" t="n">
        <x:f>NETWORKDAYS(INT(C119),INT(E119),Guide!$E$5:$E$30)-1</x:f>
        <x:v>0</x:v>
      </x:c>
      <x:c r="P119" s="15" t="n">
        <x:f>(F119-C119)*24</x:f>
        <x:v>3.3333333333721384</x:v>
      </x:c>
      <x:c r="Q119" s="15" t="n">
        <x:f>ROUND(((NETWORKDAYS(INT(E119),INT(F119),Guide!$E$5:$E$30)-1)*(Guide!$B$8-Guide!$B$7)+MOD(F119,1)-MOD(E119,1))*1440,2)</x:f>
        <x:v>135</x:v>
      </x:c>
      <x:c r="R119" s="14" t="n">
        <x:f>IF(INT(C119)=INT(F119),1,0)</x:f>
        <x:v>1</x:v>
      </x:c>
      <x:c r="S119" s="34" t="n">
        <x:f>WORKDAY(INT(C119),Guide!$B$5,Guide!$E$5:$E$30)+Guide!$B$8</x:f>
        <x:v>46008.708333333336</x:v>
      </x:c>
      <x:c r="T119" s="14" t="n">
        <x:f>IF(F119&lt;=S119,1,0)</x:f>
        <x:v>1</x:v>
      </x:c>
      <x:c r="U119" s="14" t="n">
        <x:f>IF(I119="","",IF(I119&lt;=Guide!$B$11,1,0))</x:f>
        <x:v>0</x:v>
      </x:c>
      <x:c r="V119" s="14" t="n">
        <x:f>IF(OR(N119=0,H119=1,U119=1),1,0)</x:f>
        <x:v>1</x:v>
      </x:c>
    </x:row>
    <x:row r="120" ht="25" customHeight="1">
      <x:c r="A120" s="31" t="str">
        <x:v>CASE-12-005</x:v>
      </x:c>
      <x:c r="B120" s="31" t="str">
        <x:v>EMP-01</x:v>
      </x:c>
      <x:c r="C120" s="32" t="n">
        <x:v>46002.38888888889</x:v>
      </x:c>
      <x:c r="D120" s="32" t="n">
        <x:v>46002.395833333336</x:v>
      </x:c>
      <x:c r="E120" s="32" t="n">
        <x:v>46002.416666666664</x:v>
      </x:c>
      <x:c r="F120" s="32" t="n">
        <x:v>46002.70138888889</x:v>
      </x:c>
      <x:c r="G120" s="33" t="n">
        <x:v>3000000</x:v>
      </x:c>
      <x:c r="H120" s="31" t="n">
        <x:v>0</x:v>
      </x:c>
      <x:c r="I120" s="31"/>
      <x:c r="J120" s="31" t="str">
        <x:v>No feedback</x:v>
      </x:c>
      <x:c r="K120" s="31" t="str">
        <x:v>Not assessed</x:v>
      </x:c>
      <x:c r="L120" s="31" t="str">
        <x:v>No survey response.</x:v>
      </x:c>
      <x:c r="M120" s="15" t="n">
        <x:f>ROUND(((NETWORKDAYS(INT(C120),INT(D120),Guide!$E$5:$E$30)-1)*(Guide!$B$8-Guide!$B$7)+MOD(D120,1)-MOD(C120,1))*1440,2)</x:f>
        <x:v>10</x:v>
      </x:c>
      <x:c r="N120" s="14" t="n">
        <x:f>IF(M120&lt;=Guide!$B$6,1,0)</x:f>
        <x:v>1</x:v>
      </x:c>
      <x:c r="O120" s="14" t="n">
        <x:f>NETWORKDAYS(INT(C120),INT(E120),Guide!$E$5:$E$30)-1</x:f>
        <x:v>0</x:v>
      </x:c>
      <x:c r="P120" s="15" t="n">
        <x:f>(F120-C120)*24</x:f>
        <x:v>7.5</x:v>
      </x:c>
      <x:c r="Q120" s="15" t="n">
        <x:f>ROUND(((NETWORKDAYS(INT(E120),INT(F120),Guide!$E$5:$E$30)-1)*(Guide!$B$8-Guide!$B$7)+MOD(F120,1)-MOD(E120,1))*1440,2)</x:f>
        <x:v>410</x:v>
      </x:c>
      <x:c r="R120" s="14" t="n">
        <x:f>IF(INT(C120)=INT(F120),1,0)</x:f>
        <x:v>1</x:v>
      </x:c>
      <x:c r="S120" s="34" t="n">
        <x:f>WORKDAY(INT(C120),Guide!$B$5,Guide!$E$5:$E$30)+Guide!$B$8</x:f>
        <x:v>46009.708333333336</x:v>
      </x:c>
      <x:c r="T120" s="14" t="n">
        <x:f>IF(F120&lt;=S120,1,0)</x:f>
        <x:v>1</x:v>
      </x:c>
      <x:c r="U120" s="14" t="str">
        <x:f>IF(I120="","",IF(I120&lt;=Guide!$B$11,1,0))</x:f>
      </x:c>
      <x:c r="V120" s="14" t="n">
        <x:f>IF(OR(N120=0,H120=1,U120=1),1,0)</x:f>
        <x:v>0</x:v>
      </x:c>
    </x:row>
    <x:row r="121" ht="25" customHeight="1">
      <x:c r="A121" s="31" t="str">
        <x:v>CASE-12-006</x:v>
      </x:c>
      <x:c r="B121" s="31" t="str">
        <x:v>EMP-01</x:v>
      </x:c>
      <x:c r="C121" s="32" t="n">
        <x:v>46003.333333333336</x:v>
      </x:c>
      <x:c r="D121" s="32" t="n">
        <x:v>46003.34722222222</x:v>
      </x:c>
      <x:c r="E121" s="32" t="n">
        <x:v>46003.37847222222</x:v>
      </x:c>
      <x:c r="F121" s="32" t="n">
        <x:v>46003.70138888889</x:v>
      </x:c>
      <x:c r="G121" s="33" t="n">
        <x:v>1000000</x:v>
      </x:c>
      <x:c r="H121" s="31" t="n">
        <x:v>0</x:v>
      </x:c>
      <x:c r="I121" s="31" t="n">
        <x:v>5</x:v>
      </x:c>
      <x:c r="J121" s="31" t="str">
        <x:v>Positive</x:v>
      </x:c>
      <x:c r="K121" s="31" t="str">
        <x:v>None</x:v>
      </x:c>
      <x:c r="L121" s="31" t="str">
        <x:v>Customer reports a clear and helpful resolution.</x:v>
      </x:c>
      <x:c r="M121" s="15" t="n">
        <x:f>ROUND(((NETWORKDAYS(INT(C121),INT(D121),Guide!$E$5:$E$30)-1)*(Guide!$B$8-Guide!$B$7)+MOD(D121,1)-MOD(C121,1))*1440,2)</x:f>
        <x:v>20</x:v>
      </x:c>
      <x:c r="N121" s="14" t="n">
        <x:f>IF(M121&lt;=Guide!$B$6,1,0)</x:f>
        <x:v>1</x:v>
      </x:c>
      <x:c r="O121" s="14" t="n">
        <x:f>NETWORKDAYS(INT(C121),INT(E121),Guide!$E$5:$E$30)-1</x:f>
        <x:v>0</x:v>
      </x:c>
      <x:c r="P121" s="15" t="n">
        <x:f>(F121-C121)*24</x:f>
        <x:v>8.83333333331393</x:v>
      </x:c>
      <x:c r="Q121" s="15" t="n">
        <x:f>ROUND(((NETWORKDAYS(INT(E121),INT(F121),Guide!$E$5:$E$30)-1)*(Guide!$B$8-Guide!$B$7)+MOD(F121,1)-MOD(E121,1))*1440,2)</x:f>
        <x:v>465</x:v>
      </x:c>
      <x:c r="R121" s="14" t="n">
        <x:f>IF(INT(C121)=INT(F121),1,0)</x:f>
        <x:v>1</x:v>
      </x:c>
      <x:c r="S121" s="34" t="n">
        <x:f>WORKDAY(INT(C121),Guide!$B$5,Guide!$E$5:$E$30)+Guide!$B$8</x:f>
        <x:v>46010.708333333336</x:v>
      </x:c>
      <x:c r="T121" s="14" t="n">
        <x:f>IF(F121&lt;=S121,1,0)</x:f>
        <x:v>1</x:v>
      </x:c>
      <x:c r="U121" s="14" t="n">
        <x:f>IF(I121="","",IF(I121&lt;=Guide!$B$11,1,0))</x:f>
        <x:v>0</x:v>
      </x:c>
      <x:c r="V121" s="14" t="n">
        <x:f>IF(OR(N121=0,H121=1,U121=1),1,0)</x:f>
        <x:v>0</x:v>
      </x:c>
    </x:row>
    <x:row r="122" ht="25" customHeight="1">
      <x:c r="A122" s="31" t="str">
        <x:v>CASE-12-007</x:v>
      </x:c>
      <x:c r="B122" s="31" t="str">
        <x:v>EMP-01</x:v>
      </x:c>
      <x:c r="C122" s="32" t="n">
        <x:v>46006.479166666664</x:v>
      </x:c>
      <x:c r="D122" s="32" t="n">
        <x:v>46006.48611111111</x:v>
      </x:c>
      <x:c r="E122" s="32" t="n">
        <x:v>46006.52777777778</x:v>
      </x:c>
      <x:c r="F122" s="32" t="n">
        <x:v>46006.70138888889</x:v>
      </x:c>
      <x:c r="G122" s="33" t="n">
        <x:v>2000000</x:v>
      </x:c>
      <x:c r="H122" s="31" t="n">
        <x:v>0</x:v>
      </x:c>
      <x:c r="I122" s="31" t="n">
        <x:v>4</x:v>
      </x:c>
      <x:c r="J122" s="31" t="str">
        <x:v>Positive</x:v>
      </x:c>
      <x:c r="K122" s="31" t="str">
        <x:v>None</x:v>
      </x:c>
      <x:c r="L122" s="31" t="str">
        <x:v>Customer reports a clear and helpful resolution.</x:v>
      </x:c>
      <x:c r="M122" s="15" t="n">
        <x:f>ROUND(((NETWORKDAYS(INT(C122),INT(D122),Guide!$E$5:$E$30)-1)*(Guide!$B$8-Guide!$B$7)+MOD(D122,1)-MOD(C122,1))*1440,2)</x:f>
        <x:v>10</x:v>
      </x:c>
      <x:c r="N122" s="14" t="n">
        <x:f>IF(M122&lt;=Guide!$B$6,1,0)</x:f>
        <x:v>1</x:v>
      </x:c>
      <x:c r="O122" s="14" t="n">
        <x:f>NETWORKDAYS(INT(C122),INT(E122),Guide!$E$5:$E$30)-1</x:f>
        <x:v>0</x:v>
      </x:c>
      <x:c r="P122" s="15" t="n">
        <x:f>(F122-C122)*24</x:f>
        <x:v>5.333333333430346</x:v>
      </x:c>
      <x:c r="Q122" s="15" t="n">
        <x:f>ROUND(((NETWORKDAYS(INT(E122),INT(F122),Guide!$E$5:$E$30)-1)*(Guide!$B$8-Guide!$B$7)+MOD(F122,1)-MOD(E122,1))*1440,2)</x:f>
        <x:v>250</x:v>
      </x:c>
      <x:c r="R122" s="14" t="n">
        <x:f>IF(INT(C122)=INT(F122),1,0)</x:f>
        <x:v>1</x:v>
      </x:c>
      <x:c r="S122" s="34" t="n">
        <x:f>WORKDAY(INT(C122),Guide!$B$5,Guide!$E$5:$E$30)+Guide!$B$8</x:f>
        <x:v>46013.708333333336</x:v>
      </x:c>
      <x:c r="T122" s="14" t="n">
        <x:f>IF(F122&lt;=S122,1,0)</x:f>
        <x:v>1</x:v>
      </x:c>
      <x:c r="U122" s="14" t="n">
        <x:f>IF(I122="","",IF(I122&lt;=Guide!$B$11,1,0))</x:f>
        <x:v>0</x:v>
      </x:c>
      <x:c r="V122" s="14" t="n">
        <x:f>IF(OR(N122=0,H122=1,U122=1),1,0)</x:f>
        <x:v>0</x:v>
      </x:c>
    </x:row>
    <x:row r="123" ht="25" customHeight="1">
      <x:c r="A123" s="31" t="str">
        <x:v>CASE-12-008</x:v>
      </x:c>
      <x:c r="B123" s="31" t="str">
        <x:v>EMP-01</x:v>
      </x:c>
      <x:c r="C123" s="32" t="n">
        <x:v>46008.694444444445</x:v>
      </x:c>
      <x:c r="D123" s="32" t="n">
        <x:v>46008.708333333336</x:v>
      </x:c>
      <x:c r="E123" s="32" t="n">
        <x:v>46009.38888888889</x:v>
      </x:c>
      <x:c r="F123" s="32" t="n">
        <x:v>46009.70138888889</x:v>
      </x:c>
      <x:c r="G123" s="33" t="n">
        <x:v>2000000</x:v>
      </x:c>
      <x:c r="H123" s="31" t="n">
        <x:v>0</x:v>
      </x:c>
      <x:c r="I123" s="31" t="n">
        <x:v>5</x:v>
      </x:c>
      <x:c r="J123" s="31" t="str">
        <x:v>Positive</x:v>
      </x:c>
      <x:c r="K123" s="31" t="str">
        <x:v>None</x:v>
      </x:c>
      <x:c r="L123" s="31" t="str">
        <x:v>Customer reports a clear and helpful resolution.</x:v>
      </x:c>
      <x:c r="M123" s="15" t="n">
        <x:f>ROUND(((NETWORKDAYS(INT(C123),INT(D123),Guide!$E$5:$E$30)-1)*(Guide!$B$8-Guide!$B$7)+MOD(D123,1)-MOD(C123,1))*1440,2)</x:f>
        <x:v>20</x:v>
      </x:c>
      <x:c r="N123" s="14" t="n">
        <x:f>IF(M123&lt;=Guide!$B$6,1,0)</x:f>
        <x:v>1</x:v>
      </x:c>
      <x:c r="O123" s="14" t="n">
        <x:f>NETWORKDAYS(INT(C123),INT(E123),Guide!$E$5:$E$30)-1</x:f>
        <x:v>1</x:v>
      </x:c>
      <x:c r="P123" s="15" t="n">
        <x:f>(F123-C123)*24</x:f>
        <x:v>24.16666666668607</x:v>
      </x:c>
      <x:c r="Q123" s="15" t="n">
        <x:f>ROUND(((NETWORKDAYS(INT(E123),INT(F123),Guide!$E$5:$E$30)-1)*(Guide!$B$8-Guide!$B$7)+MOD(F123,1)-MOD(E123,1))*1440,2)</x:f>
        <x:v>450</x:v>
      </x:c>
      <x:c r="R123" s="14" t="n">
        <x:f>IF(INT(C123)=INT(F123),1,0)</x:f>
        <x:v>0</x:v>
      </x:c>
      <x:c r="S123" s="34" t="n">
        <x:f>WORKDAY(INT(C123),Guide!$B$5,Guide!$E$5:$E$30)+Guide!$B$8</x:f>
        <x:v>46015.708333333336</x:v>
      </x:c>
      <x:c r="T123" s="14" t="n">
        <x:f>IF(F123&lt;=S123,1,0)</x:f>
        <x:v>1</x:v>
      </x:c>
      <x:c r="U123" s="14" t="n">
        <x:f>IF(I123="","",IF(I123&lt;=Guide!$B$11,1,0))</x:f>
        <x:v>0</x:v>
      </x:c>
      <x:c r="V123" s="14" t="n">
        <x:f>IF(OR(N123=0,H123=1,U123=1),1,0)</x:f>
        <x:v>0</x:v>
      </x:c>
    </x:row>
    <x:row r="124" ht="25" customHeight="1">
      <x:c r="A124" s="31" t="str">
        <x:v>CASE-12-009</x:v>
      </x:c>
      <x:c r="B124" s="31" t="str">
        <x:v>EMP-01</x:v>
      </x:c>
      <x:c r="C124" s="32" t="n">
        <x:v>46013.381944444445</x:v>
      </x:c>
      <x:c r="D124" s="32" t="n">
        <x:v>46013.385416666664</x:v>
      </x:c>
      <x:c r="E124" s="32" t="n">
        <x:v>46013.416666666664</x:v>
      </x:c>
      <x:c r="F124" s="32" t="n">
        <x:v>46013.70138888889</x:v>
      </x:c>
      <x:c r="G124" s="33" t="n">
        <x:v>500000</x:v>
      </x:c>
      <x:c r="H124" s="31" t="n">
        <x:v>0</x:v>
      </x:c>
      <x:c r="I124" s="31" t="n">
        <x:v>5</x:v>
      </x:c>
      <x:c r="J124" s="31" t="str">
        <x:v>Positive</x:v>
      </x:c>
      <x:c r="K124" s="31" t="str">
        <x:v>None</x:v>
      </x:c>
      <x:c r="L124" s="31" t="str">
        <x:v>Customer reports a clear and helpful resolution.</x:v>
      </x:c>
      <x:c r="M124" s="15" t="n">
        <x:f>ROUND(((NETWORKDAYS(INT(C124),INT(D124),Guide!$E$5:$E$30)-1)*(Guide!$B$8-Guide!$B$7)+MOD(D124,1)-MOD(C124,1))*1440,2)</x:f>
        <x:v>5</x:v>
      </x:c>
      <x:c r="N124" s="14" t="n">
        <x:f>IF(M124&lt;=Guide!$B$6,1,0)</x:f>
        <x:v>1</x:v>
      </x:c>
      <x:c r="O124" s="14" t="n">
        <x:f>NETWORKDAYS(INT(C124),INT(E124),Guide!$E$5:$E$30)-1</x:f>
        <x:v>0</x:v>
      </x:c>
      <x:c r="P124" s="15" t="n">
        <x:f>(F124-C124)*24</x:f>
        <x:v>7.666666666686069</x:v>
      </x:c>
      <x:c r="Q124" s="15" t="n">
        <x:f>ROUND(((NETWORKDAYS(INT(E124),INT(F124),Guide!$E$5:$E$30)-1)*(Guide!$B$8-Guide!$B$7)+MOD(F124,1)-MOD(E124,1))*1440,2)</x:f>
        <x:v>410</x:v>
      </x:c>
      <x:c r="R124" s="14" t="n">
        <x:f>IF(INT(C124)=INT(F124),1,0)</x:f>
        <x:v>1</x:v>
      </x:c>
      <x:c r="S124" s="34" t="n">
        <x:f>WORKDAY(INT(C124),Guide!$B$5,Guide!$E$5:$E$30)+Guide!$B$8</x:f>
        <x:v>46020.708333333336</x:v>
      </x:c>
      <x:c r="T124" s="14" t="n">
        <x:f>IF(F124&lt;=S124,1,0)</x:f>
        <x:v>1</x:v>
      </x:c>
      <x:c r="U124" s="14" t="n">
        <x:f>IF(I124="","",IF(I124&lt;=Guide!$B$11,1,0))</x:f>
        <x:v>0</x:v>
      </x:c>
      <x:c r="V124" s="14" t="n">
        <x:f>IF(OR(N124=0,H124=1,U124=1),1,0)</x:f>
        <x:v>0</x:v>
      </x:c>
    </x:row>
    <x:row r="125" ht="25" customHeight="1">
      <x:c r="A125" s="31" t="str">
        <x:v>CASE-12-010</x:v>
      </x:c>
      <x:c r="B125" s="31" t="str">
        <x:v>EMP-01</x:v>
      </x:c>
      <x:c r="C125" s="32" t="n">
        <x:v>46016.38888888889</x:v>
      </x:c>
      <x:c r="D125" s="32" t="n">
        <x:v>46016.39236111111</x:v>
      </x:c>
      <x:c r="E125" s="32" t="n">
        <x:v>46016.40625</x:v>
      </x:c>
      <x:c r="F125" s="32" t="n">
        <x:v>46016.70138888889</x:v>
      </x:c>
      <x:c r="G125" s="33" t="n">
        <x:v>100000</x:v>
      </x:c>
      <x:c r="H125" s="31" t="n">
        <x:v>0</x:v>
      </x:c>
      <x:c r="I125" s="31"/>
      <x:c r="J125" s="31" t="str">
        <x:v>No feedback</x:v>
      </x:c>
      <x:c r="K125" s="31" t="str">
        <x:v>Not assessed</x:v>
      </x:c>
      <x:c r="L125" s="31" t="str">
        <x:v>No survey response.</x:v>
      </x:c>
      <x:c r="M125" s="15" t="n">
        <x:f>ROUND(((NETWORKDAYS(INT(C125),INT(D125),Guide!$E$5:$E$30)-1)*(Guide!$B$8-Guide!$B$7)+MOD(D125,1)-MOD(C125,1))*1440,2)</x:f>
        <x:v>5</x:v>
      </x:c>
      <x:c r="N125" s="14" t="n">
        <x:f>IF(M125&lt;=Guide!$B$6,1,0)</x:f>
        <x:v>1</x:v>
      </x:c>
      <x:c r="O125" s="14" t="n">
        <x:f>NETWORKDAYS(INT(C125),INT(E125),Guide!$E$5:$E$30)-1</x:f>
        <x:v>0</x:v>
      </x:c>
      <x:c r="P125" s="15" t="n">
        <x:f>(F125-C125)*24</x:f>
        <x:v>7.5</x:v>
      </x:c>
      <x:c r="Q125" s="15" t="n">
        <x:f>ROUND(((NETWORKDAYS(INT(E125),INT(F125),Guide!$E$5:$E$30)-1)*(Guide!$B$8-Guide!$B$7)+MOD(F125,1)-MOD(E125,1))*1440,2)</x:f>
        <x:v>425</x:v>
      </x:c>
      <x:c r="R125" s="14" t="n">
        <x:f>IF(INT(C125)=INT(F125),1,0)</x:f>
        <x:v>1</x:v>
      </x:c>
      <x:c r="S125" s="34" t="n">
        <x:f>WORKDAY(INT(C125),Guide!$B$5,Guide!$E$5:$E$30)+Guide!$B$8</x:f>
        <x:v>46023.708333333336</x:v>
      </x:c>
      <x:c r="T125" s="14" t="n">
        <x:f>IF(F125&lt;=S125,1,0)</x:f>
        <x:v>1</x:v>
      </x:c>
      <x:c r="U125" s="14" t="str">
        <x:f>IF(I125="","",IF(I125&lt;=Guide!$B$11,1,0))</x:f>
      </x:c>
      <x:c r="V125" s="14" t="n">
        <x:f>IF(OR(N125=0,H125=1,U125=1),1,0)</x:f>
        <x:v>0</x:v>
      </x:c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</x:sheetData>
  <x:conditionalFormatting sqref="V6:V125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050267940b4a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5" hidden="0" customWidth="1"/>
    <x:col min="3" max="3" width="68" hidden="0" customWidth="1"/>
    <x:col min="4" max="4" width="3" hidden="0" customWidth="1"/>
    <x:col min="5" max="5" width="19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Definitions and review rules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8" customHeight="1">
      <x:c r="A4" s="7" t="str">
        <x:v>Setting</x:v>
      </x:c>
      <x:c r="B4" s="7" t="str">
        <x:v>Value</x:v>
      </x:c>
      <x:c r="C4" s="7" t="str">
        <x:v>Basis</x:v>
      </x:c>
      <x:c r="D4" s="2"/>
      <x:c r="E4" s="7" t="str">
        <x:v>Excluded date</x:v>
      </x:c>
      <x:c r="F4" s="7" t="str">
        <x:v>Calendar label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36" customHeight="1">
      <x:c r="A5" s="23" t="str">
        <x:v>Refund SLA (workdays)</x:v>
      </x:c>
      <x:c r="B5" s="24" t="n">
        <x:v>5</x:v>
      </x:c>
      <x:c r="C5" s="23" t="str">
        <x:v>Business premise for this exercise; not a universal bank rule.</x:v>
      </x:c>
      <x:c r="D5" s="2"/>
      <x:c r="E5" s="27" t="n">
        <x:v>45658</x:v>
      </x:c>
      <x:c r="F5" s="21" t="str">
        <x:v>New Year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6" customHeight="1">
      <x:c r="A6" s="23" t="str">
        <x:v>First reply target (work min)</x:v>
      </x:c>
      <x:c r="B6" s="24" t="n">
        <x:v>30</x:v>
      </x:c>
      <x:c r="C6" s="23" t="str">
        <x:v>Illustrative threshold; requires company approval before real use.</x:v>
      </x:c>
      <x:c r="D6" s="2"/>
      <x:c r="E6" s="27" t="n">
        <x:v>45684</x:v>
      </x:c>
      <x:c r="F6" s="21" t="str">
        <x:v>Lunar New Year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6" customHeight="1">
      <x:c r="A7" s="23" t="str">
        <x:v>Workday opens</x:v>
      </x:c>
      <x:c r="B7" s="25" t="n">
        <x:v>0.3333333333333333</x:v>
      </x:c>
      <x:c r="C7" s="23" t="str">
        <x:v>Model hours only: 08:00-17:00, continuous; no lunch modeled.</x:v>
      </x:c>
      <x:c r="D7" s="2"/>
      <x:c r="E7" s="27" t="n">
        <x:v>45685</x:v>
      </x:c>
      <x:c r="F7" s="21" t="str">
        <x:v>Lunar New Year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36" customHeight="1">
      <x:c r="A8" s="23" t="str">
        <x:v>Workday closes</x:v>
      </x:c>
      <x:c r="B8" s="25" t="n">
        <x:v>0.7083333333333334</x:v>
      </x:c>
      <x:c r="C8" s="23" t="str">
        <x:v>Used for working minutes and refund SLA deadlines.</x:v>
      </x:c>
      <x:c r="D8" s="2"/>
      <x:c r="E8" s="27" t="n">
        <x:v>45686</x:v>
      </x:c>
      <x:c r="F8" s="21" t="str">
        <x:v>Lunar New Year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36" customHeight="1">
      <x:c r="A9" s="23" t="str">
        <x:v>Late-arrival cutoff</x:v>
      </x:c>
      <x:c r="B9" s="25" t="n">
        <x:v>0.6875</x:v>
      </x:c>
      <x:c r="C9" s="23" t="str">
        <x:v>Generated data: 8 same-day and 2 next-workday refunds/month.</x:v>
      </x:c>
      <x:c r="D9" s="2"/>
      <x:c r="E9" s="27" t="n">
        <x:v>45687</x:v>
      </x:c>
      <x:c r="F9" s="21" t="str">
        <x:v>Lunar New Year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6" customHeight="1">
      <x:c r="A10" s="23" t="str">
        <x:v>Review year</x:v>
      </x:c>
      <x:c r="B10" s="24" t="n">
        <x:v>2025</x:v>
      </x:c>
      <x:c r="C10" s="23" t="str">
        <x:v>Full-year synthetic review; no real employee or customer records.</x:v>
      </x:c>
      <x:c r="D10" s="2"/>
      <x:c r="E10" s="27" t="n">
        <x:v>45688</x:v>
      </x:c>
      <x:c r="F10" s="21" t="str">
        <x:v>Lunar New Year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36" customHeight="1">
      <x:c r="A11" s="23" t="str">
        <x:v>Low rating threshold</x:v>
      </x:c>
      <x:c r="B11" s="24" t="n">
        <x:v>2</x:v>
      </x:c>
      <x:c r="C11" s="23" t="str">
        <x:v>1-2 on a 1-5 survey scale, an illustrative classification.</x:v>
      </x:c>
      <x:c r="D11" s="2"/>
      <x:c r="E11" s="27" t="n">
        <x:v>45754</x:v>
      </x:c>
      <x:c r="F11" s="21" t="str">
        <x:v>Hung Kings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36" customHeight="1">
      <x:c r="A12" s="23" t="str">
        <x:v>Employee scope</x:v>
      </x:c>
      <x:c r="B12" s="23" t="str">
        <x:v>EMP-01</x:v>
      </x:c>
      <x:c r="C12" s="23" t="str">
        <x:v>One fictional employee. No cross-employee ranking.</x:v>
      </x:c>
      <x:c r="D12" s="2"/>
      <x:c r="E12" s="27" t="n">
        <x:v>45777</x:v>
      </x:c>
      <x:c r="F12" s="21" t="str">
        <x:v>Reunification Day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36" customHeight="1">
      <x:c r="A13" s="23" t="str">
        <x:v>Case scope</x:v>
      </x:c>
      <x:c r="B13" s="23" t="str">
        <x:v>120 refunded cases</x:v>
      </x:c>
      <x:c r="C13" s="23" t="str">
        <x:v>Only pending/timeout cases with debit but no cash.</x:v>
      </x:c>
      <x:c r="D13" s="2"/>
      <x:c r="E13" s="27" t="n">
        <x:v>45778</x:v>
      </x:c>
      <x:c r="F13" s="21" t="str">
        <x:v>Labor Day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36" customHeight="1">
      <x:c r="A14" s="23" t="str">
        <x:v>Responsibility coding</x:v>
      </x:c>
      <x:c r="B14" s="23" t="str">
        <x:v>Reviewed context</x:v>
      </x:c>
      <x:c r="C14" s="23" t="str">
        <x:v>Illustrative reviewer tags. Do not infer fault from a low score alone.</x:v>
      </x:c>
      <x:c r="D14" s="2"/>
      <x:c r="E14" s="27" t="n">
        <x:v>45901</x:v>
      </x:c>
      <x:c r="F14" s="21" t="str">
        <x:v>National Day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>
      <x:c r="A15" s="2"/>
      <x:c r="B15" s="2"/>
      <x:c r="C15" s="2"/>
      <x:c r="D15" s="2"/>
      <x:c r="E15" s="27" t="n">
        <x:v>45902</x:v>
      </x:c>
      <x:c r="F15" s="21" t="str">
        <x:v>National Day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 t="str">
        <x:v>Working calendar: Monday-Friday minus the selected dates at E5:E30. No Saturday workday swaps.</x:v>
      </x:c>
      <x:c r="B16" s="2"/>
      <x:c r="C16" s="2"/>
      <x:c r="D16" s="2"/>
      <x:c r="E16" s="27"/>
      <x:c r="F16" s="21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 t="str">
        <x:v>Lunar New Year and National Day choices are modeled selections; they are not a specific employer calendar.</x:v>
      </x:c>
      <x:c r="B17" s="2"/>
      <x:c r="C17" s="2"/>
      <x:c r="D17" s="2"/>
      <x:c r="E17" s="27"/>
      <x:c r="F17" s="21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>
      <x:c r="A18" s="2" t="str">
        <x:v>May 2 remains a normal model workday. Align dates and working hours to employer policy for real use.</x:v>
      </x:c>
      <x:c r="B18" s="2"/>
      <x:c r="C18" s="2"/>
      <x:c r="D18" s="2"/>
      <x:c r="E18" s="27"/>
      <x:c r="F18" s="21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>
      <x:c r="A19" s="2"/>
      <x:c r="B19" s="2"/>
      <x:c r="C19" s="2"/>
      <x:c r="D19" s="2"/>
      <x:c r="E19" s="27"/>
      <x:c r="F19" s="21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38" customHeight="1">
      <x:c r="A20" s="7" t="str">
        <x:v>Measure</x:v>
      </x:c>
      <x:c r="B20" s="7" t="str">
        <x:v>Definition</x:v>
      </x:c>
      <x:c r="C20" s="7" t="str">
        <x:v>Interpretation</x:v>
      </x:c>
      <x:c r="D20" s="2"/>
      <x:c r="E20" s="27"/>
      <x:c r="F20" s="21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38" customHeight="1">
      <x:c r="A21" s="23" t="str">
        <x:v>response_work_minutes</x:v>
      </x:c>
      <x:c r="B21" s="23" t="str">
        <x:v>Working minutes from receipt to first reply</x:v>
      </x:c>
      <x:c r="C21" s="23" t="str">
        <x:v>Excludes nights, weekends and selected holidays; 9-hour modeled day.</x:v>
      </x:c>
      <x:c r="D21" s="2"/>
      <x:c r="E21" s="27"/>
      <x:c r="F21" s="21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38" customHeight="1">
      <x:c r="A22" s="23" t="str">
        <x:v>response_target_met</x:v>
      </x:c>
      <x:c r="B22" s="23" t="str">
        <x:v>First reply &lt;= assumed target</x:v>
      </x:c>
      <x:c r="C22" s="23" t="str">
        <x:v>1 = met, 0 = not met. Receipt and assignment coincide in this model.</x:v>
      </x:c>
      <x:c r="D22" s="2"/>
      <x:c r="E22" s="27"/>
      <x:c r="F22" s="21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38" customHeight="1">
      <x:c r="A23" s="23" t="str">
        <x:v>verification_workdays</x:v>
      </x:c>
      <x:c r="B23" s="23" t="str">
        <x:v>Workdays from receipt to final verification</x:v>
      </x:c>
      <x:c r="C23" s="23" t="str">
        <x:v>Employee stage; receipt day = 0.</x:v>
      </x:c>
      <x:c r="D23" s="2"/>
      <x:c r="E23" s="27"/>
      <x:c r="F23" s="21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38" customHeight="1">
      <x:c r="A24" s="23" t="str">
        <x:v>customer_wait_hours</x:v>
      </x:c>
      <x:c r="B24" s="23" t="str">
        <x:v>Clock hours from receipt to refund</x:v>
      </x:c>
      <x:c r="C24" s="23" t="str">
        <x:v>Includes nights/weekends. Customer experience, not employee-only time.</x:v>
      </x:c>
      <x:c r="D24" s="2"/>
      <x:c r="E24" s="27"/>
      <x:c r="F24" s="21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38" customHeight="1">
      <x:c r="A25" s="23" t="str">
        <x:v>accounting_wait_work_minutes</x:v>
      </x:c>
      <x:c r="B25" s="23" t="str">
        <x:v>Work minutes from verification to posting</x:v>
      </x:c>
      <x:c r="C25" s="23" t="str">
        <x:v>Posting-stage time. Not automatically attributed to the employee.</x:v>
      </x:c>
      <x:c r="D25" s="2"/>
      <x:c r="E25" s="27"/>
      <x:c r="F25" s="21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38" customHeight="1">
      <x:c r="A26" s="23" t="str">
        <x:v>same_day_refund</x:v>
      </x:c>
      <x:c r="B26" s="23" t="str">
        <x:v>Receipt and refund share a date</x:v>
      </x:c>
      <x:c r="C26" s="23" t="str">
        <x:v>End-to-end service measure, not a stand-alone employee score.</x:v>
      </x:c>
      <x:c r="D26" s="2"/>
      <x:c r="E26" s="27"/>
      <x:c r="F26" s="21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38" customHeight="1">
      <x:c r="A27" s="23" t="str">
        <x:v>sla_deadline</x:v>
      </x:c>
      <x:c r="B27" s="23" t="str">
        <x:v>Fifth workday after receipt, at 17:00</x:v>
      </x:c>
      <x:c r="C27" s="23" t="str">
        <x:v>Receipt day = day 0.</x:v>
      </x:c>
      <x:c r="D27" s="2"/>
      <x:c r="E27" s="27"/>
      <x:c r="F27" s="21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38" customHeight="1">
      <x:c r="A28" s="23" t="str">
        <x:v>within_sla</x:v>
      </x:c>
      <x:c r="B28" s="23" t="str">
        <x:v>Refund timestamp &lt;= SLA deadline</x:v>
      </x:c>
      <x:c r="C28" s="23" t="str">
        <x:v>All cases meet this by construction.</x:v>
      </x:c>
      <x:c r="D28" s="2"/>
      <x:c r="E28" s="27"/>
      <x:c r="F28" s="21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38" customHeight="1">
      <x:c r="A29" s="23" t="str">
        <x:v>rework_required</x:v>
      </x:c>
      <x:c r="B29" s="23" t="str">
        <x:v>Case required correction/rechecking</x:v>
      </x:c>
      <x:c r="C29" s="23" t="str">
        <x:v>Illustrative internal quality review. 1 = yes, 0 = no.</x:v>
      </x:c>
      <x:c r="D29" s="2"/>
      <x:c r="E29" s="27"/>
      <x:c r="F29" s="21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38" customHeight="1">
      <x:c r="A30" s="23" t="str">
        <x:v>csat_score</x:v>
      </x:c>
      <x:c r="B30" s="23" t="str">
        <x:v>Submitted score from 1 to 5</x:v>
      </x:c>
      <x:c r="C30" s="23" t="str">
        <x:v>Blank = no response. Do not treat blank as zero.</x:v>
      </x:c>
      <x:c r="D30" s="2"/>
      <x:c r="E30" s="27"/>
      <x:c r="F30" s="21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38" customHeight="1">
      <x:c r="A31" s="23" t="str">
        <x:v>low_rating</x:v>
      </x:c>
      <x:c r="B31" s="23" t="str">
        <x:v>Submitted score &lt;= low threshold</x:v>
      </x:c>
      <x:c r="C31" s="23" t="str">
        <x:v>Blank for no survey; 1/0 otherwise.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38" customHeight="1">
      <x:c r="A32" s="23" t="str">
        <x:v>feedback_responsibility</x:v>
      </x:c>
      <x:c r="B32" s="23" t="str">
        <x:v>Employee / System / Process / None / Not assessed</x:v>
      </x:c>
      <x:c r="C32" s="23" t="str">
        <x:v>Reviewed context, separate from customer sentiment.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38" customHeight="1">
      <x:c r="A33" s="23" t="str">
        <x:v>needs_review</x:v>
      </x:c>
      <x:c r="B33" s="23" t="str">
        <x:v>Over reply target OR rework OR low rating</x:v>
      </x:c>
      <x:c r="C33" s="23" t="str">
        <x:v>Deduplicated case flag for context review before bonus discussion.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>
      <x:c r="A35" s="28" t="str">
        <x:v>Reference dates and modeling scope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54" customHeight="1">
      <x:c r="A36" s="23" t="str">
        <x:v>Lunar New Year / National Day</x:v>
      </x:c>
      <x:c r="B36" s="23" t="str">
        <x:v>Selected 2025 dates; employer choices vary</x:v>
      </x:c>
      <x:c r="C36" s="23" t="str">
        <x:v>https://baochinhphu.vn/chinh-thuc-bo-ldtbxh-thong-bao-lich-nghi-tet-nguyen-dan-at-ty-va-nghi-le-nam-2025-10224120316465192.htm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54" customHeight="1">
      <x:c r="A37" s="23" t="str">
        <x:v>Hung Kings Day</x:v>
      </x:c>
      <x:c r="B37" s="23" t="str">
        <x:v>April 7, 2025</x:v>
      </x:c>
      <x:c r="C37" s="23" t="str">
        <x:v>https://www.vpbank.com.vn/tin-tuc/tin-vpbank/2025/vpbank-thong-bao-lich-giao-dich-trong-dip-le-gio-to-hung-vuong-2025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54" customHeight="1">
      <x:c r="A38" s="23" t="str">
        <x:v>Synthetic evidence</x:v>
      </x:c>
      <x:c r="B38" s="23" t="str">
        <x:v>All timings, scores, comments and responsibility tags are fictional</x:v>
      </x:c>
      <x:c r="C38" s="23" t="str">
        <x:v>The report supports contextual review. It does not measure attendance or calculate pay.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</x:sheetData>
  <x:pageMargins left="0.7" right="0.7" top="0.75" bottom="0.75" header="0.3" footer="0.3"/>
</x:worksheet>
</file>